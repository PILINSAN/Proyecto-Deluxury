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C TODO EN UNO" sheetId="1" r:id="rId4"/>
    <sheet state="visible" name="Rams" sheetId="2" r:id="rId5"/>
    <sheet state="visible" name="Placas Madres" sheetId="3" r:id="rId6"/>
    <sheet state="visible" name="Disco Solido" sheetId="4" r:id="rId7"/>
    <sheet state="visible" name="PSU" sheetId="5" r:id="rId8"/>
    <sheet state="visible" name="MOUSE" sheetId="6" r:id="rId9"/>
    <sheet state="visible" name="TECLADO" sheetId="7" r:id="rId10"/>
    <sheet state="visible" name="MONITOR" sheetId="8" r:id="rId11"/>
    <sheet state="visible" name="Cuadro Resumen" sheetId="9" r:id="rId12"/>
  </sheets>
  <definedNames/>
  <calcPr/>
  <extLst>
    <ext uri="GoogleSheetsCustomDataVersion2">
      <go:sheetsCustomData xmlns:go="http://customooxmlschemas.google.com/" r:id="rId13" roundtripDataChecksum="TgDCt6RYhd6nU6iNrkCVAUE69bpcu8SWW6PHbY37V6o="/>
    </ext>
  </extLst>
</workbook>
</file>

<file path=xl/sharedStrings.xml><?xml version="1.0" encoding="utf-8"?>
<sst xmlns="http://schemas.openxmlformats.org/spreadsheetml/2006/main" count="254" uniqueCount="176">
  <si>
    <t>CUADRO DE COTIZACIONES</t>
  </si>
  <si>
    <t xml:space="preserve">Cuadro Comparativo de Cotizaciones </t>
  </si>
  <si>
    <t xml:space="preserve"> Computadores Corporativos todo en uno</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</si>
  <si>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</si>
  <si>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</si>
  <si>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</si>
  <si>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</si>
  <si>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</si>
  <si>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</si>
  <si>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</si>
  <si>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</si>
  <si>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</si>
  <si>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</si>
  <si>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</si>
  <si>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Tienda Tek (Colombia)</t>
  </si>
  <si>
    <t>https://www.hp.com/co-es/shop/todo-en-uno-hp-proone-440-g9-8c1z4lt.html?msockid=0426519fdd98653e2f4c4691dc3764a3</t>
  </si>
  <si>
    <t>contado</t>
  </si>
  <si>
    <t>Es un diapositivo  muy duradero y sobretodo rapido</t>
  </si>
  <si>
    <t xml:space="preserve">Nº2 </t>
  </si>
  <si>
    <t>Falabella Colombia</t>
  </si>
  <si>
    <t>https://www.falabella.com.co/falabella-co/product/72962305/Computador-de-escritorio-HP-All-in-One-Intel-Core-i5-8GB-RAM-512GB-SSD-Windows-11-23.8-pulgadas-24-cb1027la</t>
  </si>
  <si>
    <t>Nº 3</t>
  </si>
  <si>
    <t>Alkosoto</t>
  </si>
  <si>
    <t>https://www.alkosto.com/computador-all-in-one-hp-238-pulgadas-cb1027la-intel-core-i5-ram-8gb-disco-ssd-512-gb-negro/p/198415346537</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</si>
  <si>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</si>
  <si>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</si>
  <si>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 Ram</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</si>
  <si>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</si>
  <si>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</si>
  <si>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</si>
  <si>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</si>
  <si>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</si>
  <si>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</si>
  <si>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</si>
  <si>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</si>
  <si>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G.Skill Trident Z5 DDR5 32GB (2×16GB) – Enjoy Videogames</t>
  </si>
  <si>
    <t>https://enjoyvideogames.com.co/product/memoria-ram-g-skill-trident-z5-rgb-ddr5-32gb-2-x-16gb-288-pin-ddr5-6000-mhz-cl30/</t>
  </si>
  <si>
    <t>Memoria RAM de alto rendimiento con tecnología DDR5, ideal para gaming y tareas exigentes. Ofrece gran velocidad y estabilidad, mejorando el desempeño general del sistema. Además, cuehgfhnta con diseño moderno y excelente calidad de construcción.</t>
  </si>
  <si>
    <t>G.SKILL Trident Z5 Neo DDR5 32GB (2×16GB) – Ubuy / importación</t>
  </si>
  <si>
    <t>https://www.ubuy.com.co/sp/product/7MUPN1HGS-mem-2-16g-ddr5-gskillf5-6000j3636f16gx2-tz5n-r/</t>
  </si>
  <si>
    <t>Memoria RAM de alto rendimiento con tecnología DDR5, ideal para gaming y tareas exigentes. Ofrece gran velocidad y estabilidad, mejorando el desempeño general del sistema. Además, cuenta con diseño moderno y excelente calidad de construcción.</t>
  </si>
  <si>
    <t>Memoria RAM G.SKILL Trident Z5 RGB 32GB (2×16GB) 6800MHz – Sigma Tiendas</t>
  </si>
  <si>
    <t>https://sigmatiendas.com/products/memoria-ram-g-skill-trident-z5-32gb-ddr5-6800mhz-para-pc</t>
  </si>
  <si>
    <t xml:space="preserve"> Placas Madres</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</si>
  <si>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</si>
  <si>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</si>
  <si>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</si>
  <si>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</si>
  <si>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</si>
  <si>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</si>
  <si>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</si>
  <si>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</si>
  <si>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Tienda Gamer Medellín</t>
  </si>
  <si>
    <t>https://www.tiendagamermedellin.co/z790-gaming-plus-wifi-d5-msi-intel</t>
  </si>
  <si>
    <t>Placa madre de gama alta compatible con procesadores Intel de última generación. Ofrece conectividad WiFi integrada, múltiples puertos de expansión y excelente estabilidad para configuraciones gaming o profesionales. Ideal para armar un equipo potente y actualizado.</t>
  </si>
  <si>
    <t>Clones y Periféricos</t>
  </si>
  <si>
    <t>https://infoshopcorp.com/product/board-msi-z790-gaming-plus-wifi</t>
  </si>
  <si>
    <t>PC Gamer Medellin</t>
  </si>
  <si>
    <t>https://speedlogic.com.co/tienda/placas-madre/intel-placas-madre/board-msi-z790-gaming-plus-wifi</t>
  </si>
  <si>
    <t xml:space="preserve"> Disco Solido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</si>
  <si>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</si>
  <si>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</si>
  <si>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</si>
  <si>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</si>
  <si>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</si>
  <si>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</si>
  <si>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</si>
  <si>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</si>
  <si>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SpeedLogic – Kingston NV3 1TB NVMe PCIe 4.0</t>
  </si>
  <si>
    <t>https://speedlogic.com.co/tienda/unidades-ssd/m-2-nvme/unidad-de-estado-solido-ssd-m2-nvme-1tb-kingston-nv3-6000-x-4000/</t>
  </si>
  <si>
    <t>Disco sólido de alta velocidad con tecnología NVMe PCIe 4.0, que garantiza arranques rápidos y tiempos de carga reducidos. Su capacidad de 1TB permite almacenar gran cantidad de información con excelente rendimiento y confiabilidad.</t>
  </si>
  <si>
    <t>MercadoLibre Colombia – Kingston NVMe 1TB PCIe 4.0 NV3</t>
  </si>
  <si>
    <t>https://www.mercadolibre.com.co/disco-solido-ssd-m2-1tb-kingston-nvme-pcie-40-nv3-color-azul-oscuro/p/MCO39766120</t>
  </si>
  <si>
    <t>SpeedLogic – Crucial P3 Plus 1TB NVMe Gen4</t>
  </si>
  <si>
    <t>https://speedlogic.com.co/categoria/unidades-ssd/m-2-nvme/ (buscar en la categoría SSD, hay P3 Plus 1TB)</t>
  </si>
  <si>
    <t xml:space="preserve"> PSU</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</si>
  <si>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</si>
  <si>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</si>
  <si>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</si>
  <si>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</si>
  <si>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</si>
  <si>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</si>
  <si>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</si>
  <si>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</si>
  <si>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Gab-Store – MSI MAG A750GL 750W 80 Plus Gold</t>
  </si>
  <si>
    <t>https://www.gab-store.com/product-page/msi-mag-a750gl-pcie5-750w</t>
  </si>
  <si>
    <t>Fuente de poder certificada 80 Plus Gold, lo que asegura alta eficiencia energética y menor consumo eléctrico. Sus 750W ofrecen potencia suficiente para equipos gaming de alto rendimiento, brindando estabilidad y protección a los componentes.</t>
  </si>
  <si>
    <r>
      <rPr>
        <rFont val="Aptos Narrow"/>
        <color theme="1"/>
        <sz val="11.0"/>
      </rPr>
      <t>Tiendamia Colombia</t>
    </r>
    <r>
      <rPr>
        <rFont val="Aptos Narrow"/>
        <color theme="1"/>
        <sz val="11.0"/>
      </rPr>
      <t xml:space="preserve"> – MSI MAG A750GL PCIE5 750W (envío internacional con entrega en Colombia)</t>
    </r>
  </si>
  <si>
    <t>https://tiendamia.com/pe/producto?amz=B0CC3QBGDL</t>
  </si>
  <si>
    <t>SpeedLogic Colombia</t>
  </si>
  <si>
    <t>https://speedlogic.com.co/</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</si>
  <si>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</si>
  <si>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</si>
  <si>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</si>
  <si>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</si>
  <si>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</si>
  <si>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</si>
  <si>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</si>
  <si>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</si>
  <si>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Logitech</t>
  </si>
  <si>
    <t>https://www.logitechstore.com.co/products/mouse-inalambrico-logitech-m170-diseno-portatil-ambidiestro-receptor-usb-2-4ghz-blanco?srsltid=AfmBOoq4DGOZqyoBUR4zFFFxOSAUxQTuW3cDIIuF_k8oS_OUQukh_K38</t>
  </si>
  <si>
    <t>Mouse inalámbrico Logitech M170</t>
  </si>
  <si>
    <t>Este práctico mouse para computadora tiene una batería con una vida útil de 12 meses (2) y funciona con los sistemas operativos Windows, macOS, Linux, Chrome OS, ipadOS y Android.</t>
  </si>
  <si>
    <t>panamericana</t>
  </si>
  <si>
    <t>https://www.panamericana.com.co/mouse-inalambrico-logitech-m170-negro-535283/p?srsltid=AfmBOorZMzZ8ZUxUBnZyHSIIDyTjeMJ2TvuG1x2QbgKk1MI06N0xoN-2</t>
  </si>
  <si>
    <t>El mouse inalámbrico M170 es realmente Plug and Play. Inserta el receptor en un puerto USB de la computadora y ya puedes empezar a usarlo. No hace falta emparejar el mouse ni descargar software para empezar a usarlo</t>
  </si>
  <si>
    <t>Alkosto</t>
  </si>
  <si>
    <t>https://www.alkosto.com/mouse-logitech-inalambrico-optico-m170-azul-gris/p/097855183453?srsltid=AfmBOor9RThfMIwVVcU65aDiSDQ3ErScQF-6DnyStPnuj9OwvHeaG8TJ</t>
  </si>
  <si>
    <t>Simplemente conecta el receptor a un puerto USB de tu dispositivo para comenzar a trabajar en cuestión de segundos. Con su pequeño tamaño y el fluido control del cursor, es fantástico para espacios de trabajo reducidos y mesas llenas de cosas. ¡Disfruta del mundo inalámbrico comprando el tuyo ahora!</t>
  </si>
  <si>
    <t>Presupuestos (a)</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</si>
  <si>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</si>
  <si>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</si>
  <si>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</si>
  <si>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</si>
  <si>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</si>
  <si>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</si>
  <si>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</si>
  <si>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</si>
  <si>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AlkostoCOLOMBIA</t>
  </si>
  <si>
    <t>https://www.alkosto.com/teclado-hp-inalambrico-230-negro/p/195908430070</t>
  </si>
  <si>
    <t>Teclado inalámbrico HP 230</t>
  </si>
  <si>
    <t>$199.900</t>
  </si>
  <si>
    <t>Teclado Inalámbrico HP 230. Disfruta de un teclado cómodo, elegante, silencioso y fácil de conectar. Trabaja, estudia y navega por internet utilizando este teclado inalámbrico, que incluye un diseño delgado y elegante, teclas silenciosas tipo chiclet, además de larga duración en la batería.</t>
  </si>
  <si>
    <t>Nº2</t>
  </si>
  <si>
    <t>Exito Colombia</t>
  </si>
  <si>
    <t>https://www.exito.com/teclado-hp-inalambrico-230-102422309-mp/p</t>
  </si>
  <si>
    <t>Escritura más precisa y cómoda. Bajo sonido de digitación
Activa fácilmente las 12 teclas de función con solo un clic
Tecnología que permite una importante duración de la batería
Liviano y practico de fácil y rápida conexión.</t>
  </si>
  <si>
    <t>HP Colombia</t>
  </si>
  <si>
    <t>https://www.hp.com/co-es/shop/teclado-inalambrico-hp-350-692s8aa.html</t>
  </si>
  <si>
    <t>Este teclado inalámbrico combina la productividad del escritorio con la portabilidad compacta dondequiera que se encuentre. Además, le ofrece funcionalidades como Bluetooth® 5.2, conectividad multipar y accesos directos. Llévelo a cualquier parte para disfrutar de una experiencia de escritura satisfactoria que lo acompañará.</t>
  </si>
  <si>
    <r>
      <rPr>
        <rFont val="Trebuchet MS"/>
        <b/>
        <color theme="1"/>
        <sz val="10.0"/>
      </rPr>
      <t>Empresa</t>
    </r>
    <r>
      <rPr>
        <rFont val="Trebuchet MS"/>
        <b val="0"/>
        <i/>
        <color theme="1"/>
        <sz val="8.0"/>
      </rPr>
      <t xml:space="preserve">
(Nombre fiscal de la empresa)</t>
    </r>
  </si>
  <si>
    <r>
      <rPr>
        <rFont val="Trebuchet MS"/>
        <b/>
        <color theme="1"/>
        <sz val="10.0"/>
      </rPr>
      <t>Nº de CUIT, Dirección, Teléfono</t>
    </r>
    <r>
      <rPr>
        <rFont val="Trebuchet MS"/>
        <b val="0"/>
        <i/>
        <color theme="1"/>
        <sz val="10.0"/>
      </rPr>
      <t xml:space="preserve">
</t>
    </r>
    <r>
      <rPr>
        <rFont val="Trebuchet MS"/>
        <b val="0"/>
        <i/>
        <color theme="1"/>
        <sz val="8.0"/>
      </rPr>
      <t>(Datos de la empresa)</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</si>
  <si>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</si>
  <si>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</si>
  <si>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</si>
  <si>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</si>
  <si>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</si>
  <si>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</si>
  <si>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https://www.falabella.com.co/falabella-co/product/142670428/Monitor-Samsung-24-Pulgadas-FHD-IPS-100-Hz-5ms-LS24D300-%E2%80%93-HDMI/142670429?srsltid=AfmBOoq4DGOZqyoBUR4zFFFxOSAUxQTuW3cDIIuF_k8oS_OUQukh_K38</t>
  </si>
  <si>
    <t>Monitor Samsung 24" Full HD</t>
  </si>
  <si>
    <t>Protege tu visión y mantente cómodo, incluso durante largas sesiones. Mantén la concentración en tu trabajo con menos luz azul y parpadeo de pantalla reducido.
 ipadOS y Android.</t>
  </si>
  <si>
    <t>https://www.alkosto.com/monitor-samsung-24-pulgadas-d300-fhd-plano-negro/p/887276903149</t>
  </si>
  <si>
    <t xml:space="preserve">Transforma tu espacio de trabajo con el monitor Samsung 24D300, una pantalla diseñada para ofrecerte calidad de imagen y confort en cada momento. </t>
  </si>
  <si>
    <t>Samsung Colombia</t>
  </si>
  <si>
    <t>https://www.agaval.com/monitor-samsung-esencial-de-24--pulgadas-s3-full-hd-plano-100hz-5ms-negro-297529/p</t>
  </si>
  <si>
    <t>El Monitor Samsung Esencial de 24" Pulgadas S3 ofrece una experiencia visual nítida y fluida gracias a su resolución Full HD y frecuencia de actualización de 100Hz.</t>
  </si>
  <si>
    <t>CUADRO RESUMEN - FICHA TECNICA</t>
  </si>
  <si>
    <t xml:space="preserve">Informacion general </t>
  </si>
  <si>
    <r>
      <rPr>
        <rFont val="Arial"/>
        <b/>
        <color rgb="FF000000"/>
      </rPr>
      <t>Nombre del proyecto :</t>
    </r>
    <r>
      <rPr>
        <rFont val="Arial"/>
        <color rgb="FF000000"/>
      </rPr>
      <t xml:space="preserve"> Deluxury Clothes</t>
    </r>
  </si>
  <si>
    <r>
      <rPr>
        <rFont val="Arial"/>
        <b/>
        <color rgb="FF000000"/>
      </rPr>
      <t>Fecha :</t>
    </r>
    <r>
      <rPr>
        <rFont val="Arial"/>
        <color rgb="FF000000"/>
      </rPr>
      <t xml:space="preserve"> 19/03/26</t>
    </r>
  </si>
  <si>
    <r>
      <rPr>
        <rFont val="Arial"/>
        <color rgb="FF000000"/>
      </rPr>
      <t>I</t>
    </r>
    <r>
      <rPr>
        <rFont val="Arial"/>
        <b/>
        <color rgb="FF000000"/>
      </rPr>
      <t xml:space="preserve">ntegrantes </t>
    </r>
    <r>
      <rPr>
        <rFont val="Arial"/>
        <color rgb="FF000000"/>
      </rPr>
      <t xml:space="preserve">: Santiago Palacio - Miguel Segura -Miguel Galvis - Jampier Soto - Brandon Colina </t>
    </r>
  </si>
  <si>
    <r>
      <rPr>
        <rFont val="Arial"/>
        <b/>
        <color rgb="FF000000"/>
      </rPr>
      <t>Objetivos del analisis :</t>
    </r>
    <r>
      <rPr>
        <rFont val="Arial"/>
        <color rgb="FF000000"/>
      </rPr>
      <t xml:space="preserve"> Determinar el costo total de la infraestructura requerida</t>
    </r>
  </si>
  <si>
    <t>Resumen por categoria</t>
  </si>
  <si>
    <t>Categoria</t>
  </si>
  <si>
    <t>Descripcion</t>
  </si>
  <si>
    <t>Cantidad</t>
  </si>
  <si>
    <t>Costo unitario</t>
  </si>
  <si>
    <t>Costo total</t>
  </si>
  <si>
    <t>Hardware</t>
  </si>
  <si>
    <t>1.Monitor Samsung 24 Pulgadas FHD IPS 100 Hz 5ms LS24D300 – HDMI SAMSUNG
2.Mouse Inalámbricos LogitechM170
3.Teclado HP Inalámbrico 230</t>
  </si>
  <si>
    <t>1.  369.900
2.   47.900
3.   79.900</t>
  </si>
  <si>
    <t>$1.989.200</t>
  </si>
  <si>
    <t>Software</t>
  </si>
  <si>
    <t>1. Windows 11 Pro OEM 
 2. My SQL</t>
  </si>
  <si>
    <t>1. $39.900
 2. $324.285</t>
  </si>
  <si>
    <t>$364,19</t>
  </si>
  <si>
    <t>Conectividad</t>
  </si>
  <si>
    <t>Plan de Internet Claro 300Mbps</t>
  </si>
  <si>
    <t>Servidores</t>
  </si>
  <si>
    <t>Hosting Empresarial</t>
  </si>
  <si>
    <t>Recurso Humano</t>
  </si>
  <si>
    <t>Equipo de Desarrollo</t>
  </si>
  <si>
    <t xml:space="preserve">$10.505.430
</t>
  </si>
  <si>
    <t>Total General</t>
  </si>
  <si>
    <t>$13.015.074,19</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</si>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</sst>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_([$$-409]* #,##0.00_);_([$$-409]* \(#,##0.00\);_([$$-409]* &quot;-&quot;??_);_(@_)"/>
    <numFmt numFmtId="165" formatCode="_-[$$-409]* #,##0.00_ ;_-[$$-409]* \-#,##0.00\ ;_-[$$-409]* &quot;-&quot;??_ ;_-@_ "/>
    <numFmt numFmtId="166" formatCode="&quot;$&quot;\ #,##0;[Red]\-&quot;$&quot;\ #,##0"/>
    <numFmt numFmtId="167" formatCode="&quot;$&quot;#,##0.00"/>
  </numFmts>
  <fonts count="35">
    <font>
      <sz val="11.0"/>
      <color theme="1"/>
      <name val="Aptos Narrow"/>
      <scheme val="minor"/>
    </font>
    <font>
      <b/>
      <sz val="12.0"/>
      <color theme="1"/>
      <name val="Arial"/>
    </font>
    <font/>
    <font>
      <sz val="11.0"/>
      <color theme="1"/>
      <name val="Aptos Narrow"/>
    </font>
    <font>
      <b/>
      <sz val="10.0"/>
      <color theme="1"/>
      <name val="Arial"/>
    </font>
    <font>
      <b/>
      <sz val="10.0"/>
      <color theme="1"/>
      <name val="Trebuchet MS"/>
    </font>
    <font>
      <b/>
      <u/>
      <sz val="10.0"/>
      <color theme="1"/>
      <name val="Trebuchet MS"/>
    </font>
    <font>
      <u/>
      <sz val="11.0"/>
      <color rgb="FF467886"/>
      <name val="Arial"/>
    </font>
    <font>
      <sz val="10.0"/>
      <color rgb="FF000000"/>
      <name val="Trebuchet MS"/>
    </font>
    <font>
      <u/>
      <sz val="10.0"/>
      <color rgb="FF000000"/>
      <name val="Trebuchet MS"/>
    </font>
    <font>
      <sz val="10.0"/>
      <color theme="1"/>
      <name val="Trebuchet MS"/>
    </font>
    <font>
      <sz val="10.0"/>
      <color theme="1"/>
      <name val="Proxima Nova"/>
    </font>
    <font>
      <u/>
      <sz val="11.0"/>
      <color theme="10"/>
      <name val="Aptos Narrow"/>
    </font>
    <font>
      <sz val="10.0"/>
      <color rgb="FF3C4B71"/>
      <name val="Aptos Narrow"/>
    </font>
    <font>
      <sz val="10.0"/>
      <color rgb="FF222222"/>
      <name val="Inherit"/>
    </font>
    <font>
      <sz val="10.0"/>
      <color theme="1"/>
      <name val="Arial"/>
    </font>
    <font>
      <u/>
      <sz val="11.0"/>
      <color theme="10"/>
      <name val="Aptos Narrow"/>
    </font>
    <font>
      <u/>
      <sz val="11.0"/>
      <color theme="10"/>
      <name val="Aptos Narrow"/>
    </font>
    <font>
      <b/>
      <u/>
      <sz val="10.0"/>
      <color theme="1"/>
      <name val="Trebuchet MS"/>
    </font>
    <font>
      <u/>
      <sz val="11.0"/>
      <color theme="10"/>
      <name val="Aptos Narrow"/>
    </font>
    <font>
      <u/>
      <sz val="11.0"/>
      <color theme="10"/>
      <name val="Aptos Narrow"/>
    </font>
    <font>
      <u/>
      <sz val="11.0"/>
      <color rgb="FF467886"/>
      <name val="Arial"/>
    </font>
    <font>
      <u/>
      <sz val="11.0"/>
      <color theme="10"/>
      <name val="Aptos Narrow"/>
    </font>
    <font>
      <u/>
      <sz val="11.0"/>
      <color theme="10"/>
      <name val="Aptos Narrow"/>
    </font>
    <font>
      <u/>
      <sz val="11.0"/>
      <color rgb="FF800080"/>
      <name val="Aptos Narrow"/>
    </font>
    <font>
      <u/>
      <sz val="11.0"/>
      <color rgb="FF800080"/>
      <name val="Aptos Narrow"/>
    </font>
    <font>
      <sz val="11.0"/>
      <color theme="1"/>
      <name val="Calibri"/>
    </font>
    <font>
      <b/>
      <sz val="11.0"/>
      <color rgb="FF000000"/>
      <name val="Arial"/>
    </font>
    <font>
      <b/>
      <color rgb="FF000000"/>
      <name val="Arial"/>
    </font>
    <font>
      <color rgb="FF000000"/>
      <name val="Arial"/>
    </font>
    <font>
      <b/>
      <sz val="13.0"/>
      <color rgb="FF000000"/>
      <name val="Arial"/>
    </font>
    <font>
      <sz val="11.0"/>
      <color rgb="FF000000"/>
      <name val="Arial"/>
    </font>
    <font>
      <sz val="11.0"/>
      <color rgb="FF000000"/>
      <name val="Cambria"/>
    </font>
    <font>
      <color theme="1"/>
      <name val="Aptos Narrow"/>
      <scheme val="minor"/>
    </font>
    <font>
      <color theme="1"/>
      <name val="Arial"/>
    </font>
  </fonts>
  <fills count="16">
    <fill>
      <patternFill patternType="none"/>
    </fill>
    <fill>
      <patternFill patternType="lightGray"/>
    </fill>
    <fill>
      <patternFill patternType="solid">
        <fgColor rgb="FFC0C0C0"/>
        <bgColor rgb="FFC0C0C0"/>
      </patternFill>
    </fill>
    <fill>
      <patternFill patternType="solid">
        <fgColor rgb="FFF7FC7E"/>
        <bgColor rgb="FFF7FC7E"/>
      </patternFill>
    </fill>
    <fill>
      <patternFill patternType="solid">
        <fgColor rgb="FFDBE9F7"/>
        <bgColor rgb="FFDBE9F7"/>
      </patternFill>
    </fill>
    <fill>
      <patternFill patternType="solid">
        <fgColor rgb="FFCAEDFB"/>
        <bgColor rgb="FFCAEDFB"/>
      </patternFill>
    </fill>
    <fill>
      <patternFill patternType="solid">
        <fgColor rgb="FF84E291"/>
        <bgColor rgb="FF84E291"/>
      </patternFill>
    </fill>
    <fill>
      <patternFill patternType="solid">
        <fgColor rgb="FFFAE2D6"/>
        <bgColor rgb="FFFAE2D6"/>
      </patternFill>
    </fill>
    <fill>
      <patternFill patternType="solid">
        <fgColor rgb="FFC1E4F5"/>
        <bgColor rgb="FFC1E4F5"/>
      </patternFill>
    </fill>
    <fill>
      <patternFill patternType="solid">
        <fgColor rgb="FFA6C9EB"/>
        <bgColor rgb="FFA6C9EB"/>
      </patternFill>
    </fill>
    <fill>
      <patternFill patternType="solid">
        <fgColor rgb="FFF6C6AC"/>
        <bgColor rgb="FFF6C6AC"/>
      </patternFill>
    </fill>
    <fill>
      <patternFill patternType="solid">
        <fgColor rgb="FFEFEFEF"/>
        <bgColor rgb="FFEFEFEF"/>
      </patternFill>
    </fill>
    <fill>
      <patternFill patternType="solid">
        <fgColor rgb="FFB6D7A8"/>
        <bgColor rgb="FFB6D7A8"/>
      </patternFill>
    </fill>
    <fill>
      <patternFill patternType="solid">
        <fgColor rgb="FFD9EAD3"/>
        <bgColor rgb="FFD9EAD3"/>
      </patternFill>
    </fill>
    <fill>
      <patternFill patternType="solid">
        <fgColor rgb="FFCFE2F3"/>
        <bgColor rgb="FFCFE2F3"/>
      </patternFill>
    </fill>
    <fill>
      <patternFill patternType="solid">
        <fgColor rgb="FFFFE599"/>
        <bgColor rgb="FFFFE599"/>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top style="thin">
        <color rgb="FF000000"/>
      </top>
    </border>
    <border>
      <right style="thin">
        <color rgb="FF000000"/>
      </right>
      <top style="thin">
        <color rgb="FF000000"/>
      </top>
    </border>
    <border>
      <bottom style="thin">
        <color rgb="FF000000"/>
      </bottom>
    </border>
    <border>
      <left style="thin">
        <color rgb="FF000000"/>
      </left>
    </border>
    <border>
      <right style="thin">
        <color rgb="FF000000"/>
      </right>
    </border>
  </borders>
  <cellStyleXfs count="1">
    <xf borderId="0" fillId="0" fontId="0" numFmtId="0" applyAlignment="1" applyFont="1"/>
  </cellStyleXfs>
  <cellXfs count="97">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0" fontId="3" numFmtId="0" xfId="0" applyAlignment="1" applyBorder="1" applyFont="1">
      <alignment horizontal="center"/>
    </xf>
    <xf borderId="4" fillId="0" fontId="2" numFmtId="0" xfId="0" applyBorder="1" applyFont="1"/>
    <xf borderId="5" fillId="3" fontId="4" numFmtId="0" xfId="0" applyAlignment="1" applyBorder="1" applyFill="1" applyFont="1">
      <alignment horizontal="center" shrinkToFit="0" vertical="center" wrapText="1"/>
    </xf>
    <xf borderId="5" fillId="3" fontId="5" numFmtId="0" xfId="0" applyAlignment="1" applyBorder="1" applyFont="1">
      <alignment horizontal="center" shrinkToFit="0" vertical="center" wrapText="1"/>
    </xf>
    <xf borderId="5" fillId="3" fontId="6" numFmtId="0" xfId="0" applyAlignment="1" applyBorder="1" applyFont="1">
      <alignment horizontal="center" shrinkToFit="0" vertical="center" wrapText="1"/>
    </xf>
    <xf borderId="5" fillId="4" fontId="4" numFmtId="0" xfId="0" applyAlignment="1" applyBorder="1" applyFill="1" applyFont="1">
      <alignment horizontal="center" vertical="center"/>
    </xf>
    <xf borderId="5" fillId="5" fontId="3" numFmtId="0" xfId="0" applyBorder="1" applyFill="1" applyFont="1"/>
    <xf borderId="5" fillId="5" fontId="7" numFmtId="0" xfId="0" applyAlignment="1" applyBorder="1" applyFont="1">
      <alignment readingOrder="0"/>
    </xf>
    <xf borderId="5" fillId="5" fontId="3" numFmtId="0" xfId="0" applyAlignment="1" applyBorder="1" applyFont="1">
      <alignment horizontal="center" shrinkToFit="0" vertical="center" wrapText="1"/>
    </xf>
    <xf borderId="5" fillId="6" fontId="3" numFmtId="3" xfId="0" applyBorder="1" applyFill="1" applyFont="1" applyNumberFormat="1"/>
    <xf borderId="5" fillId="6" fontId="8" numFmtId="164" xfId="0" applyAlignment="1" applyBorder="1" applyFont="1" applyNumberFormat="1">
      <alignment horizontal="center" shrinkToFit="0" vertical="center" wrapText="1"/>
    </xf>
    <xf borderId="5" fillId="6" fontId="9" numFmtId="165" xfId="0" applyAlignment="1" applyBorder="1" applyFont="1" applyNumberFormat="1">
      <alignment horizontal="center" shrinkToFit="0" vertical="center" wrapText="1"/>
    </xf>
    <xf borderId="5" fillId="7" fontId="10" numFmtId="0" xfId="0" applyAlignment="1" applyBorder="1" applyFill="1" applyFont="1">
      <alignment horizontal="center" shrinkToFit="0" vertical="top" wrapText="1"/>
    </xf>
    <xf borderId="5" fillId="7" fontId="11" numFmtId="0" xfId="0" applyAlignment="1" applyBorder="1" applyFont="1">
      <alignment horizontal="center" readingOrder="0" shrinkToFit="0" vertical="center" wrapText="1"/>
    </xf>
    <xf borderId="5" fillId="5" fontId="12" numFmtId="0" xfId="0" applyBorder="1" applyFont="1"/>
    <xf borderId="5" fillId="5" fontId="13" numFmtId="0" xfId="0" applyAlignment="1" applyBorder="1" applyFont="1">
      <alignment horizontal="center" shrinkToFit="0" vertical="center" wrapText="1"/>
    </xf>
    <xf borderId="5" fillId="5" fontId="14" numFmtId="0" xfId="0" applyAlignment="1" applyBorder="1" applyFont="1">
      <alignment horizontal="center" shrinkToFit="0" vertical="center" wrapText="1"/>
    </xf>
    <xf borderId="5" fillId="0" fontId="15" numFmtId="0" xfId="0" applyBorder="1" applyFont="1"/>
    <xf borderId="5" fillId="0" fontId="10" numFmtId="0" xfId="0" applyAlignment="1" applyBorder="1" applyFont="1">
      <alignment horizontal="left" shrinkToFit="0" vertical="top" wrapText="1"/>
    </xf>
    <xf borderId="5" fillId="0" fontId="3" numFmtId="0" xfId="0" applyBorder="1" applyFont="1"/>
    <xf borderId="1" fillId="0" fontId="4" numFmtId="0" xfId="0" applyAlignment="1" applyBorder="1" applyFont="1">
      <alignment horizontal="left" shrinkToFit="0" vertical="center" wrapText="1"/>
    </xf>
    <xf borderId="5" fillId="8" fontId="3" numFmtId="0" xfId="0" applyAlignment="1" applyBorder="1" applyFill="1" applyFont="1">
      <alignment shrinkToFit="0" vertical="center" wrapText="1"/>
    </xf>
    <xf borderId="5" fillId="8" fontId="16" numFmtId="0" xfId="0" applyAlignment="1" applyBorder="1" applyFont="1">
      <alignment shrinkToFit="0" vertical="center" wrapText="1"/>
    </xf>
    <xf borderId="5" fillId="9" fontId="17" numFmtId="0" xfId="0" applyBorder="1" applyFill="1" applyFont="1"/>
    <xf borderId="5" fillId="6" fontId="3" numFmtId="3" xfId="0" applyAlignment="1" applyBorder="1" applyFont="1" applyNumberFormat="1">
      <alignment horizontal="center" shrinkToFit="0" vertical="center" wrapText="1"/>
    </xf>
    <xf borderId="5" fillId="6" fontId="3" numFmtId="3" xfId="0" applyAlignment="1" applyBorder="1" applyFont="1" applyNumberFormat="1">
      <alignment horizontal="center" vertical="center"/>
    </xf>
    <xf borderId="5" fillId="10" fontId="10" numFmtId="0" xfId="0" applyAlignment="1" applyBorder="1" applyFill="1" applyFont="1">
      <alignment horizontal="center" shrinkToFit="0" vertical="top" wrapText="1"/>
    </xf>
    <xf borderId="5" fillId="10" fontId="3" numFmtId="0" xfId="0" applyAlignment="1" applyBorder="1" applyFont="1">
      <alignment horizontal="left" shrinkToFit="0" vertical="top" wrapText="1"/>
    </xf>
    <xf borderId="5" fillId="9" fontId="13" numFmtId="0" xfId="0" applyAlignment="1" applyBorder="1" applyFont="1">
      <alignment horizontal="center" shrinkToFit="0" vertical="center" wrapText="1"/>
    </xf>
    <xf borderId="5" fillId="10" fontId="11" numFmtId="0" xfId="0" applyAlignment="1" applyBorder="1" applyFont="1">
      <alignment horizontal="center" shrinkToFit="0" vertical="center" wrapText="1"/>
    </xf>
    <xf borderId="5" fillId="9" fontId="14" numFmtId="0" xfId="0" applyAlignment="1" applyBorder="1" applyFont="1">
      <alignment horizontal="center" shrinkToFit="0" vertical="center" wrapText="1"/>
    </xf>
    <xf borderId="5" fillId="6" fontId="8" numFmtId="164" xfId="0" applyAlignment="1" applyBorder="1" applyFont="1" applyNumberFormat="1">
      <alignment horizontal="center" vertical="center"/>
    </xf>
    <xf borderId="5" fillId="10" fontId="3" numFmtId="0" xfId="0" applyAlignment="1" applyBorder="1" applyFont="1">
      <alignment shrinkToFit="0" wrapText="1"/>
    </xf>
    <xf borderId="6" fillId="0" fontId="15" numFmtId="0" xfId="0" applyBorder="1" applyFont="1"/>
    <xf borderId="6" fillId="0" fontId="10" numFmtId="0" xfId="0" applyAlignment="1" applyBorder="1" applyFont="1">
      <alignment horizontal="left" shrinkToFit="0" vertical="top" wrapText="1"/>
    </xf>
    <xf borderId="7" fillId="0" fontId="10" numFmtId="0" xfId="0" applyAlignment="1" applyBorder="1" applyFont="1">
      <alignment horizontal="left" shrinkToFit="0" vertical="top" wrapText="1"/>
    </xf>
    <xf borderId="6" fillId="0" fontId="3" numFmtId="0" xfId="0" applyBorder="1" applyFont="1"/>
    <xf borderId="8" fillId="0" fontId="10" numFmtId="0" xfId="0" applyAlignment="1" applyBorder="1" applyFont="1">
      <alignment horizontal="left" shrinkToFit="0" vertical="top" wrapText="1"/>
    </xf>
    <xf borderId="2" fillId="0" fontId="3" numFmtId="0" xfId="0" applyAlignment="1" applyBorder="1" applyFont="1">
      <alignment horizontal="center"/>
    </xf>
    <xf borderId="9" fillId="3" fontId="4" numFmtId="0" xfId="0" applyAlignment="1" applyBorder="1" applyFont="1">
      <alignment horizontal="center" shrinkToFit="0" vertical="center" wrapText="1"/>
    </xf>
    <xf borderId="9" fillId="3" fontId="5" numFmtId="0" xfId="0" applyAlignment="1" applyBorder="1" applyFont="1">
      <alignment horizontal="center" shrinkToFit="0" vertical="center" wrapText="1"/>
    </xf>
    <xf borderId="9" fillId="3" fontId="18" numFmtId="0" xfId="0" applyAlignment="1" applyBorder="1" applyFont="1">
      <alignment horizontal="center" shrinkToFit="0" vertical="center" wrapText="1"/>
    </xf>
    <xf borderId="10" fillId="3" fontId="4" numFmtId="0" xfId="0" applyAlignment="1" applyBorder="1" applyFont="1">
      <alignment horizontal="center" shrinkToFit="0" vertical="center" wrapText="1"/>
    </xf>
    <xf borderId="10" fillId="3" fontId="5" numFmtId="0" xfId="0" applyAlignment="1" applyBorder="1" applyFont="1">
      <alignment horizontal="center" shrinkToFit="0" vertical="center" wrapText="1"/>
    </xf>
    <xf borderId="5" fillId="8" fontId="3" numFmtId="0" xfId="0" applyAlignment="1" applyBorder="1" applyFont="1">
      <alignment horizontal="center" shrinkToFit="0" vertical="center" wrapText="1"/>
    </xf>
    <xf borderId="5" fillId="8" fontId="19" numFmtId="0" xfId="0" applyAlignment="1" applyBorder="1" applyFont="1">
      <alignment horizontal="center" shrinkToFit="0" vertical="center" wrapText="1"/>
    </xf>
    <xf borderId="5" fillId="8" fontId="20" numFmtId="0" xfId="0" applyAlignment="1" applyBorder="1" applyFont="1">
      <alignment horizontal="center" vertical="center"/>
    </xf>
    <xf borderId="5" fillId="10" fontId="10" numFmtId="0" xfId="0" applyAlignment="1" applyBorder="1" applyFont="1">
      <alignment horizontal="center" shrinkToFit="0" vertical="center" wrapText="1"/>
    </xf>
    <xf borderId="5" fillId="10" fontId="3" numFmtId="0" xfId="0" applyAlignment="1" applyBorder="1" applyFont="1">
      <alignment horizontal="center" shrinkToFit="0" vertical="center" wrapText="1"/>
    </xf>
    <xf borderId="5" fillId="8" fontId="13" numFmtId="0" xfId="0" applyAlignment="1" applyBorder="1" applyFont="1">
      <alignment horizontal="center" shrinkToFit="0" vertical="center" wrapText="1"/>
    </xf>
    <xf borderId="5" fillId="8" fontId="21" numFmtId="0" xfId="0" applyAlignment="1" applyBorder="1" applyFont="1">
      <alignment horizontal="center" readingOrder="0" shrinkToFit="0" vertical="center" wrapText="1"/>
    </xf>
    <xf borderId="5" fillId="8" fontId="14" numFmtId="0" xfId="0" applyAlignment="1" applyBorder="1" applyFont="1">
      <alignment horizontal="center" shrinkToFit="0" vertical="center" wrapText="1"/>
    </xf>
    <xf borderId="5" fillId="8" fontId="22" numFmtId="0" xfId="0" applyBorder="1" applyFont="1"/>
    <xf borderId="5" fillId="6" fontId="3" numFmtId="3" xfId="0" applyAlignment="1" applyBorder="1" applyFont="1" applyNumberFormat="1">
      <alignment shrinkToFit="0" vertical="center" wrapText="1"/>
    </xf>
    <xf borderId="5" fillId="6" fontId="3" numFmtId="3" xfId="0" applyAlignment="1" applyBorder="1" applyFont="1" applyNumberFormat="1">
      <alignment vertical="center"/>
    </xf>
    <xf borderId="5" fillId="8" fontId="23" numFmtId="0" xfId="0" applyAlignment="1" applyBorder="1" applyFont="1">
      <alignment shrinkToFit="0" wrapText="1"/>
    </xf>
    <xf borderId="5" fillId="6" fontId="3" numFmtId="166" xfId="0" applyAlignment="1" applyBorder="1" applyFont="1" applyNumberFormat="1">
      <alignment horizontal="center" vertical="center"/>
    </xf>
    <xf borderId="5" fillId="6" fontId="3" numFmtId="166" xfId="0" applyAlignment="1" applyBorder="1" applyFont="1" applyNumberFormat="1">
      <alignment vertical="center"/>
    </xf>
    <xf borderId="5" fillId="8" fontId="3" numFmtId="0" xfId="0" applyAlignment="1" applyBorder="1" applyFont="1">
      <alignment horizontal="center" vertical="center"/>
    </xf>
    <xf borderId="5" fillId="8" fontId="24" numFmtId="0" xfId="0" applyAlignment="1" applyBorder="1" applyFont="1">
      <alignment horizontal="center" shrinkToFit="0" wrapText="1"/>
    </xf>
    <xf borderId="5" fillId="10" fontId="3" numFmtId="0" xfId="0" applyAlignment="1" applyBorder="1" applyFont="1">
      <alignment horizontal="center" shrinkToFit="0" wrapText="1"/>
    </xf>
    <xf borderId="5" fillId="4" fontId="3" numFmtId="0" xfId="0" applyAlignment="1" applyBorder="1" applyFont="1">
      <alignment horizontal="center" shrinkToFit="0" vertical="center" wrapText="1"/>
    </xf>
    <xf borderId="5" fillId="8" fontId="25" numFmtId="0" xfId="0" applyAlignment="1" applyBorder="1" applyFont="1">
      <alignment horizontal="center" shrinkToFit="0" vertical="center" wrapText="1"/>
    </xf>
    <xf borderId="5" fillId="6" fontId="3" numFmtId="166" xfId="0" applyAlignment="1" applyBorder="1" applyFont="1" applyNumberFormat="1">
      <alignment horizontal="center" shrinkToFit="0" vertical="center" wrapText="1"/>
    </xf>
    <xf borderId="5" fillId="4" fontId="3" numFmtId="0" xfId="0" applyAlignment="1" applyBorder="1" applyFont="1">
      <alignment horizontal="center" vertical="center"/>
    </xf>
    <xf borderId="0" fillId="0" fontId="26" numFmtId="0" xfId="0" applyFont="1"/>
    <xf borderId="0" fillId="0" fontId="26" numFmtId="0" xfId="0" applyAlignment="1" applyFont="1">
      <alignment horizontal="center"/>
    </xf>
    <xf borderId="11" fillId="11" fontId="27" numFmtId="0" xfId="0" applyAlignment="1" applyBorder="1" applyFill="1" applyFont="1">
      <alignment horizontal="center" readingOrder="0" shrinkToFit="0" vertical="bottom" wrapText="0"/>
    </xf>
    <xf borderId="12" fillId="0" fontId="2" numFmtId="0" xfId="0" applyBorder="1" applyFont="1"/>
    <xf borderId="7" fillId="0" fontId="2" numFmtId="0" xfId="0" applyBorder="1" applyFont="1"/>
    <xf borderId="13" fillId="0" fontId="2" numFmtId="0" xfId="0" applyBorder="1" applyFont="1"/>
    <xf borderId="8" fillId="0" fontId="2" numFmtId="0" xfId="0" applyBorder="1" applyFont="1"/>
    <xf borderId="0" fillId="0" fontId="26" numFmtId="0" xfId="0" applyAlignment="1" applyFont="1">
      <alignment vertical="top"/>
    </xf>
    <xf borderId="14" fillId="11" fontId="28" numFmtId="0" xfId="0" applyAlignment="1" applyBorder="1" applyFont="1">
      <alignment readingOrder="0" shrinkToFit="0" vertical="bottom" wrapText="0"/>
    </xf>
    <xf borderId="15" fillId="0" fontId="2" numFmtId="0" xfId="0" applyBorder="1" applyFont="1"/>
    <xf borderId="11" fillId="11" fontId="29" numFmtId="0" xfId="0" applyAlignment="1" applyBorder="1" applyFont="1">
      <alignment readingOrder="0" shrinkToFit="0" vertical="bottom" wrapText="0"/>
    </xf>
    <xf borderId="14" fillId="11" fontId="29" numFmtId="0" xfId="0" applyAlignment="1" applyBorder="1" applyFont="1">
      <alignment readingOrder="0" shrinkToFit="0" vertical="bottom" wrapText="0"/>
    </xf>
    <xf borderId="14" fillId="0" fontId="2" numFmtId="0" xfId="0" applyBorder="1" applyFont="1"/>
    <xf borderId="11" fillId="11" fontId="29" numFmtId="0" xfId="0" applyAlignment="1" applyBorder="1" applyFont="1">
      <alignment horizontal="left" readingOrder="0" textRotation="0"/>
    </xf>
    <xf borderId="11" fillId="12" fontId="30" numFmtId="0" xfId="0" applyAlignment="1" applyBorder="1" applyFill="1" applyFont="1">
      <alignment horizontal="center" readingOrder="0" shrinkToFit="0" vertical="bottom" wrapText="0"/>
    </xf>
    <xf borderId="0" fillId="0" fontId="26" numFmtId="0" xfId="0" applyAlignment="1" applyFont="1">
      <alignment horizontal="right"/>
    </xf>
    <xf borderId="14" fillId="13" fontId="29" numFmtId="0" xfId="0" applyAlignment="1" applyBorder="1" applyFill="1" applyFont="1">
      <alignment horizontal="center" readingOrder="0" shrinkToFit="0" vertical="bottom" wrapText="0"/>
    </xf>
    <xf borderId="0" fillId="13" fontId="29" numFmtId="0" xfId="0" applyAlignment="1" applyFont="1">
      <alignment horizontal="center" readingOrder="0" shrinkToFit="0" vertical="bottom" wrapText="0"/>
    </xf>
    <xf borderId="11" fillId="14" fontId="29" numFmtId="0" xfId="0" applyAlignment="1" applyBorder="1" applyFill="1" applyFont="1">
      <alignment horizontal="center" readingOrder="0" shrinkToFit="0" vertical="bottom" wrapText="0"/>
    </xf>
    <xf borderId="11" fillId="14" fontId="31" numFmtId="0" xfId="0" applyAlignment="1" applyBorder="1" applyFont="1">
      <alignment horizontal="center" readingOrder="0" shrinkToFit="0" vertical="bottom" wrapText="0"/>
    </xf>
    <xf borderId="0" fillId="14" fontId="32" numFmtId="0" xfId="0" applyAlignment="1" applyFont="1">
      <alignment horizontal="center" readingOrder="0" shrinkToFit="0" vertical="bottom" wrapText="0"/>
    </xf>
    <xf borderId="0" fillId="14" fontId="32" numFmtId="167" xfId="0" applyAlignment="1" applyFont="1" applyNumberFormat="1">
      <alignment horizontal="center" readingOrder="0" shrinkToFit="0" vertical="bottom" wrapText="0"/>
    </xf>
    <xf borderId="11" fillId="14" fontId="29" numFmtId="3" xfId="0" applyAlignment="1" applyBorder="1" applyFont="1" applyNumberFormat="1">
      <alignment horizontal="center" readingOrder="0" shrinkToFit="0" vertical="bottom" wrapText="0"/>
    </xf>
    <xf borderId="4" fillId="14" fontId="29" numFmtId="3" xfId="0" applyAlignment="1" applyBorder="1" applyFont="1" applyNumberFormat="1">
      <alignment horizontal="center" readingOrder="0" shrinkToFit="0" vertical="bottom" wrapText="0"/>
    </xf>
    <xf borderId="14" fillId="15" fontId="29" numFmtId="0" xfId="0" applyAlignment="1" applyBorder="1" applyFill="1" applyFont="1">
      <alignment horizontal="center" readingOrder="0" shrinkToFit="0" vertical="bottom" wrapText="0"/>
    </xf>
    <xf borderId="0" fillId="15" fontId="33" numFmtId="0" xfId="0" applyAlignment="1" applyFont="1">
      <alignment horizontal="center" readingOrder="0"/>
    </xf>
    <xf borderId="0" fillId="0" fontId="3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hp.com/co-es/shop/todo-en-uno-hp-proone-440-g9-8c1z4lt.html?msockid=0426519fdd98653e2f4c4691dc3764a3" TargetMode="External"/><Relationship Id="rId2" Type="http://schemas.openxmlformats.org/officeDocument/2006/relationships/hyperlink" Target="https://www.falabella.com.co/falabella-co/product/72962305/Computador-de-escritorio-HP-All-in-One-Intel-Core-i5-8GB-RAM-512GB-SSD-Windows-11-23.8-pulgadas-24-cb1027la" TargetMode="External"/><Relationship Id="rId3" Type="http://schemas.openxmlformats.org/officeDocument/2006/relationships/hyperlink" Target="https://www.alkosto.com/computador-all-in-one-hp-238-pulgadas-cb1027la-intel-core-i5-ram-8gb-disco-ssd-512-gb-negro/p/198415346537?utm_source=chatgpt.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enjoyvideogames.com.co/product/memoria-ram-g-skill-trident-z5-rgb-ddr5-32gb-2-x-16gb-288-pin-ddr5-6000-mhz-cl30/" TargetMode="External"/><Relationship Id="rId2" Type="http://schemas.openxmlformats.org/officeDocument/2006/relationships/hyperlink" Target="https://www.ubuy.com.co/sp/product/7MUPN1HGS-mem-2-16g-ddr5-gskillf5-6000j3636f16gx2-tz5n-r/" TargetMode="External"/><Relationship Id="rId3" Type="http://schemas.openxmlformats.org/officeDocument/2006/relationships/hyperlink" Target="https://sigmatiendas.com/products/memoria-ram-g-skill-trident-z5-32gb-ddr5-6800mhz-para-pc"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tiendagamermedellin.co/z790-gaming-plus-wifi-d5-msi-intel?utm_source=chatgpt.com" TargetMode="External"/><Relationship Id="rId2" Type="http://schemas.openxmlformats.org/officeDocument/2006/relationships/hyperlink" Target="https://infoshopcorp.com/product/board-msi-z790-gaming-plus-wifi?utm_source=chatgpt.com" TargetMode="External"/><Relationship Id="rId3" Type="http://schemas.openxmlformats.org/officeDocument/2006/relationships/hyperlink" Target="https://speedlogic.com.co/tienda/placas-madre/intel-placas-madre/board-msi-z790-gaming-plus-wifi"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peedlogic.com.co/tienda/unidades-ssd/m-2-nvme/unidad-de-estado-solido-ssd-m2-nvme-1tb-kingston-nv3-6000-x-4000/" TargetMode="External"/><Relationship Id="rId2" Type="http://schemas.openxmlformats.org/officeDocument/2006/relationships/hyperlink" Target="https://www.mercadolibre.com.co/disco-solido-ssd-m2-1tb-kingston-nvme-pcie-40-nv3-color-azul-oscuro/p/MCO39766120?utm_source=chatgpt.com" TargetMode="External"/><Relationship Id="rId3" Type="http://schemas.openxmlformats.org/officeDocument/2006/relationships/hyperlink" Target="https://speedlogic.com.co/categoria/unidades-ssd/m-2-nvme/"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gab-store.com/product-page/msi-mag-a750gl-pcie5-750w" TargetMode="External"/><Relationship Id="rId2" Type="http://schemas.openxmlformats.org/officeDocument/2006/relationships/hyperlink" Target="https://tiendamia.com/pe/producto?amz=B0CC3QBGDL" TargetMode="External"/><Relationship Id="rId3" Type="http://schemas.openxmlformats.org/officeDocument/2006/relationships/hyperlink" Target="https://speedlogic.com.co/"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logitechstore.com.co/products/mouse-inalambrico-logitech-m170-diseno-portatil-ambidiestro-receptor-usb-2-4ghz-blanco?srsltid=AfmBOoq4DGOZqyoBUR4zFFFxOSAUxQTuW3cDIIuF_k8oS_OUQukh_K38" TargetMode="External"/><Relationship Id="rId2" Type="http://schemas.openxmlformats.org/officeDocument/2006/relationships/hyperlink" Target="https://www.panamericana.com.co/mouse-inalambrico-logitech-m170-negro-535283/p?srsltid=AfmBOorZMzZ8ZUxUBnZyHSIIDyTjeMJ2TvuG1x2QbgKk1MI06N0xoN-2" TargetMode="External"/><Relationship Id="rId3" Type="http://schemas.openxmlformats.org/officeDocument/2006/relationships/hyperlink" Target="https://www.alkosto.com/mouse-logitech-inalambrico-optico-m170-azul-gris/p/097855183453?srsltid=AfmBOor9RThfMIwVVcU65aDiSDQ3ErScQF-6DnyStPnuj9OwvHeaG8TJ" TargetMode="External"/><Relationship Id="rId4"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lkosto.com/teclado-hp-inalambrico-230-negro/p/195908430070" TargetMode="External"/><Relationship Id="rId2" Type="http://schemas.openxmlformats.org/officeDocument/2006/relationships/hyperlink" Target="https://www.exito.com/teclado-hp-inalambrico-230-102422309-mp/p" TargetMode="External"/><Relationship Id="rId3" Type="http://schemas.openxmlformats.org/officeDocument/2006/relationships/hyperlink" Target="https://www.hp.com/co-es/shop/teclado-inalambrico-hp-350-692s8aa.html"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falabella.com.co/falabella-co/product/142670428/Monitor-Samsung-24-Pulgadas-FHD-IPS-100-Hz-5ms-LS24D300-%E2%80%93-HDMI/142670429?srsltid=AfmBOoq4DGOZqyoBUR4zFFFxOSAUxQTuW3cDIIuF_k8oS_OUQukh_K38" TargetMode="External"/><Relationship Id="rId2" Type="http://schemas.openxmlformats.org/officeDocument/2006/relationships/hyperlink" Target="https://www.alkosto.com/monitor-samsung-24-pulgadas-d300-fhd-plano-negro/p/887276903149" TargetMode="External"/><Relationship Id="rId3" Type="http://schemas.openxmlformats.org/officeDocument/2006/relationships/hyperlink" Target="https://www.agaval.com/monitor-samsung-esencial-de-24--pulgadas-s3-full-hd-plano-100hz-5ms-negro-297529/p" TargetMode="External"/><Relationship Id="rId4"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0"/>
    <col customWidth="1" min="3" max="3" width="13.63"/>
    <col customWidth="1" min="4" max="4" width="13.25"/>
    <col customWidth="1" min="5" max="5" width="14.88"/>
    <col customWidth="1" min="6" max="6" width="16.25"/>
    <col customWidth="1" min="7" max="7" width="13.13"/>
    <col customWidth="1" min="8" max="8" width="15.38"/>
    <col customWidth="1" min="9" max="9" width="14.13"/>
    <col customWidth="1" min="10" max="10" width="20.38"/>
    <col customWidth="1" min="11" max="26" width="11.0"/>
  </cols>
  <sheetData>
    <row r="1" ht="13.5" customHeight="1">
      <c r="D1" s="1" t="s">
        <v>0</v>
      </c>
    </row>
    <row r="2" ht="13.5" customHeight="1"/>
    <row r="3" ht="13.5" customHeight="1"/>
    <row r="4" ht="13.5" customHeight="1">
      <c r="A4" s="2" t="s">
        <v>1</v>
      </c>
      <c r="B4" s="3"/>
      <c r="C4" s="3"/>
      <c r="D4" s="3"/>
      <c r="E4" s="3"/>
      <c r="F4" s="3"/>
      <c r="G4" s="3"/>
      <c r="H4" s="3"/>
      <c r="I4" s="3"/>
      <c r="J4" s="4"/>
    </row>
    <row r="5" ht="13.5" customHeight="1">
      <c r="D5" s="5" t="s">
        <v>2</v>
      </c>
      <c r="E5" s="6"/>
      <c r="F5" s="6"/>
      <c r="G5" s="6"/>
      <c r="H5" s="6"/>
    </row>
    <row r="6" ht="13.5" customHeight="1">
      <c r="A6" s="7" t="s">
        <v>3</v>
      </c>
      <c r="B6" s="8" t="s">
        <v>4</v>
      </c>
      <c r="C6" s="8" t="s">
        <v>5</v>
      </c>
      <c r="D6" s="8" t="s">
        <v>6</v>
      </c>
      <c r="E6" s="8" t="s">
        <v>7</v>
      </c>
      <c r="F6" s="9" t="s">
        <v>8</v>
      </c>
      <c r="G6" s="7" t="s">
        <v>9</v>
      </c>
      <c r="H6" s="8" t="s">
        <v>10</v>
      </c>
      <c r="I6" s="8" t="s">
        <v>11</v>
      </c>
      <c r="J6" s="8" t="s">
        <v>12</v>
      </c>
    </row>
    <row r="7" ht="13.5" customHeight="1">
      <c r="A7" s="10" t="s">
        <v>13</v>
      </c>
      <c r="B7" s="11" t="s">
        <v>14</v>
      </c>
      <c r="C7" s="12" t="s">
        <v>15</v>
      </c>
      <c r="D7" s="13"/>
      <c r="E7" s="14">
        <v>2680588.0</v>
      </c>
      <c r="F7" s="14">
        <f t="shared" ref="F7:F9" si="1">+E7*19%+E7</f>
        <v>3189899.72</v>
      </c>
      <c r="G7" s="15">
        <f t="shared" ref="G7:G9" si="2">+(E7+F7)/3688</f>
        <v>1591.780835</v>
      </c>
      <c r="H7" s="16">
        <f t="shared" ref="H7:H9" si="3">+G7*3665</f>
        <v>5833876.761</v>
      </c>
      <c r="I7" s="17" t="s">
        <v>16</v>
      </c>
      <c r="J7" s="18" t="s">
        <v>17</v>
      </c>
    </row>
    <row r="8" ht="13.5" customHeight="1">
      <c r="A8" s="10" t="s">
        <v>18</v>
      </c>
      <c r="B8" s="11" t="s">
        <v>19</v>
      </c>
      <c r="C8" s="19" t="s">
        <v>20</v>
      </c>
      <c r="D8" s="20"/>
      <c r="E8" s="14">
        <v>2831933.0</v>
      </c>
      <c r="F8" s="14">
        <f t="shared" si="1"/>
        <v>3370000.27</v>
      </c>
      <c r="G8" s="15">
        <f t="shared" si="2"/>
        <v>1681.652188</v>
      </c>
      <c r="H8" s="16">
        <f t="shared" si="3"/>
        <v>6163255.27</v>
      </c>
      <c r="I8" s="17" t="s">
        <v>16</v>
      </c>
      <c r="J8" s="18" t="s">
        <v>17</v>
      </c>
    </row>
    <row r="9" ht="13.5" customHeight="1">
      <c r="A9" s="10" t="s">
        <v>21</v>
      </c>
      <c r="B9" s="11" t="s">
        <v>22</v>
      </c>
      <c r="C9" s="19" t="s">
        <v>23</v>
      </c>
      <c r="D9" s="21"/>
      <c r="E9" s="14">
        <v>3357983.0</v>
      </c>
      <c r="F9" s="14">
        <f t="shared" si="1"/>
        <v>3995999.77</v>
      </c>
      <c r="G9" s="15">
        <f t="shared" si="2"/>
        <v>1994.030035</v>
      </c>
      <c r="H9" s="16">
        <f t="shared" si="3"/>
        <v>7308120.079</v>
      </c>
      <c r="I9" s="17" t="s">
        <v>16</v>
      </c>
      <c r="J9" s="18" t="s">
        <v>17</v>
      </c>
    </row>
    <row r="10" ht="13.5" customHeight="1">
      <c r="A10" s="22"/>
      <c r="B10" s="23"/>
      <c r="C10" s="23"/>
      <c r="D10" s="23"/>
      <c r="E10" s="23"/>
      <c r="F10" s="24"/>
      <c r="G10" s="23"/>
      <c r="H10" s="23"/>
      <c r="I10" s="23"/>
      <c r="J10" s="23"/>
    </row>
    <row r="11" ht="13.5" customHeight="1"/>
    <row r="12" ht="69.0" customHeight="1">
      <c r="A12" s="25" t="s">
        <v>24</v>
      </c>
      <c r="B12" s="3"/>
      <c r="C12" s="3"/>
      <c r="D12" s="3"/>
      <c r="E12" s="3"/>
      <c r="F12" s="3"/>
      <c r="G12" s="3"/>
      <c r="H12" s="3"/>
      <c r="I12" s="3"/>
      <c r="J12" s="4"/>
    </row>
    <row r="13" ht="13.5" customHeight="1"/>
    <row r="14" ht="70.5" customHeight="1">
      <c r="A14" s="25" t="s">
        <v>25</v>
      </c>
      <c r="B14" s="3"/>
      <c r="C14" s="3"/>
      <c r="D14" s="3"/>
      <c r="E14" s="3"/>
      <c r="F14" s="3"/>
      <c r="G14" s="3"/>
      <c r="H14" s="3"/>
      <c r="I14" s="3"/>
      <c r="J14" s="4"/>
    </row>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5">
    <mergeCell ref="D1:H1"/>
    <mergeCell ref="A4:J4"/>
    <mergeCell ref="D5:H5"/>
    <mergeCell ref="A12:J12"/>
    <mergeCell ref="A14:J14"/>
  </mergeCells>
  <hyperlinks>
    <hyperlink r:id="rId1" ref="C7"/>
    <hyperlink r:id="rId2" ref="C8"/>
    <hyperlink r:id="rId3" ref="C9"/>
  </hyperlinks>
  <printOptions/>
  <pageMargins bottom="0.75" footer="0.0" header="0.0" left="0.7" right="0.7" top="0.75"/>
  <pageSetup orientation="landscape"/>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1.0"/>
    <col customWidth="1" min="3" max="3" width="18.63"/>
    <col customWidth="1" min="4" max="5" width="11.0"/>
    <col customWidth="1" min="6" max="6" width="11.5"/>
    <col customWidth="1" min="7" max="7" width="11.0"/>
    <col customWidth="1" min="8" max="8" width="13.63"/>
    <col customWidth="1" min="9" max="9" width="15.13"/>
    <col customWidth="1" min="10" max="10" width="15.5"/>
    <col customWidth="1" min="11" max="26" width="11.0"/>
  </cols>
  <sheetData>
    <row r="1" ht="13.5" customHeight="1">
      <c r="A1" s="2" t="s">
        <v>1</v>
      </c>
      <c r="B1" s="3"/>
      <c r="C1" s="3"/>
      <c r="D1" s="3"/>
      <c r="E1" s="3"/>
      <c r="F1" s="3"/>
      <c r="G1" s="3"/>
      <c r="H1" s="3"/>
      <c r="I1" s="3"/>
      <c r="J1" s="4"/>
    </row>
    <row r="2" ht="13.5" customHeight="1">
      <c r="D2" s="5" t="s">
        <v>26</v>
      </c>
      <c r="E2" s="6"/>
      <c r="F2" s="6"/>
      <c r="G2" s="6"/>
      <c r="H2" s="6"/>
    </row>
    <row r="3" ht="13.5" customHeight="1">
      <c r="A3" s="7" t="s">
        <v>3</v>
      </c>
      <c r="B3" s="8" t="s">
        <v>27</v>
      </c>
      <c r="C3" s="8" t="s">
        <v>28</v>
      </c>
      <c r="D3" s="8" t="s">
        <v>29</v>
      </c>
      <c r="E3" s="8" t="s">
        <v>30</v>
      </c>
      <c r="F3" s="9" t="s">
        <v>31</v>
      </c>
      <c r="G3" s="7" t="s">
        <v>32</v>
      </c>
      <c r="H3" s="8" t="s">
        <v>10</v>
      </c>
      <c r="I3" s="8" t="s">
        <v>33</v>
      </c>
      <c r="J3" s="8" t="s">
        <v>34</v>
      </c>
    </row>
    <row r="4" ht="97.5" customHeight="1">
      <c r="A4" s="10" t="s">
        <v>13</v>
      </c>
      <c r="B4" s="26" t="s">
        <v>35</v>
      </c>
      <c r="C4" s="27" t="s">
        <v>36</v>
      </c>
      <c r="D4" s="28"/>
      <c r="E4" s="29">
        <v>1756302.0</v>
      </c>
      <c r="F4" s="30">
        <f t="shared" ref="F4:F6" si="1">+E4*19%+E4</f>
        <v>2089999.38</v>
      </c>
      <c r="G4" s="15">
        <f t="shared" ref="G4:G6" si="2">+(E4+F4)/3688</f>
        <v>1042.923368</v>
      </c>
      <c r="H4" s="16">
        <f t="shared" ref="H4:H6" si="3">+G4*3665</f>
        <v>3822314.143</v>
      </c>
      <c r="I4" s="31" t="s">
        <v>16</v>
      </c>
      <c r="J4" s="32" t="s">
        <v>37</v>
      </c>
    </row>
    <row r="5" ht="96.0" customHeight="1">
      <c r="A5" s="10" t="s">
        <v>18</v>
      </c>
      <c r="B5" s="26" t="s">
        <v>38</v>
      </c>
      <c r="C5" s="27" t="s">
        <v>39</v>
      </c>
      <c r="D5" s="33"/>
      <c r="E5" s="29">
        <v>1864706.0</v>
      </c>
      <c r="F5" s="30">
        <f t="shared" si="1"/>
        <v>2219000.14</v>
      </c>
      <c r="G5" s="15">
        <f t="shared" si="2"/>
        <v>1107.295591</v>
      </c>
      <c r="H5" s="16">
        <f t="shared" si="3"/>
        <v>4058238.341</v>
      </c>
      <c r="I5" s="31" t="s">
        <v>16</v>
      </c>
      <c r="J5" s="34" t="s">
        <v>40</v>
      </c>
    </row>
    <row r="6" ht="124.5" customHeight="1">
      <c r="A6" s="10" t="s">
        <v>21</v>
      </c>
      <c r="B6" s="26" t="s">
        <v>41</v>
      </c>
      <c r="C6" s="27" t="s">
        <v>42</v>
      </c>
      <c r="D6" s="35"/>
      <c r="E6" s="29">
        <v>1823529.0</v>
      </c>
      <c r="F6" s="30">
        <f t="shared" si="1"/>
        <v>2169999.51</v>
      </c>
      <c r="G6" s="36">
        <f t="shared" si="2"/>
        <v>1082.843956</v>
      </c>
      <c r="H6" s="16">
        <f t="shared" si="3"/>
        <v>3968623.099</v>
      </c>
      <c r="I6" s="31" t="s">
        <v>16</v>
      </c>
      <c r="J6" s="37" t="s">
        <v>40</v>
      </c>
    </row>
    <row r="7" ht="13.5" customHeight="1">
      <c r="A7" s="38"/>
      <c r="B7" s="39"/>
      <c r="C7" s="39"/>
      <c r="D7" s="39"/>
      <c r="E7" s="40"/>
      <c r="F7" s="41"/>
      <c r="G7" s="42"/>
      <c r="H7" s="39"/>
      <c r="I7" s="39"/>
      <c r="J7" s="39"/>
    </row>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J1"/>
    <mergeCell ref="D2:H2"/>
  </mergeCells>
  <hyperlinks>
    <hyperlink r:id="rId1" ref="C4"/>
    <hyperlink r:id="rId2" ref="C5"/>
    <hyperlink r:id="rId3" ref="C6"/>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5" width="11.0"/>
    <col customWidth="1" min="6" max="6" width="11.5"/>
    <col customWidth="1" min="7" max="7" width="11.0"/>
    <col customWidth="1" min="8" max="8" width="13.38"/>
    <col customWidth="1" min="9" max="9" width="11.0"/>
    <col customWidth="1" min="10" max="10" width="34.88"/>
    <col customWidth="1" min="11" max="26" width="11.0"/>
  </cols>
  <sheetData>
    <row r="1" ht="13.5" customHeight="1">
      <c r="A1" s="2" t="s">
        <v>1</v>
      </c>
      <c r="B1" s="3"/>
      <c r="C1" s="3"/>
      <c r="D1" s="3"/>
      <c r="E1" s="3"/>
      <c r="F1" s="3"/>
      <c r="G1" s="3"/>
      <c r="H1" s="3"/>
      <c r="I1" s="3"/>
      <c r="J1" s="4"/>
    </row>
    <row r="2" ht="13.5" customHeight="1">
      <c r="D2" s="43" t="s">
        <v>43</v>
      </c>
      <c r="E2" s="3"/>
      <c r="F2" s="3"/>
      <c r="G2" s="3"/>
      <c r="H2" s="3"/>
    </row>
    <row r="3" ht="13.5" customHeight="1">
      <c r="A3" s="44" t="s">
        <v>3</v>
      </c>
      <c r="B3" s="45" t="s">
        <v>44</v>
      </c>
      <c r="C3" s="45" t="s">
        <v>45</v>
      </c>
      <c r="D3" s="45" t="s">
        <v>46</v>
      </c>
      <c r="E3" s="45" t="s">
        <v>47</v>
      </c>
      <c r="F3" s="46" t="s">
        <v>48</v>
      </c>
      <c r="G3" s="47" t="s">
        <v>49</v>
      </c>
      <c r="H3" s="45" t="s">
        <v>10</v>
      </c>
      <c r="I3" s="48" t="s">
        <v>50</v>
      </c>
      <c r="J3" s="45" t="s">
        <v>51</v>
      </c>
    </row>
    <row r="4" ht="135.75" customHeight="1">
      <c r="A4" s="10" t="s">
        <v>13</v>
      </c>
      <c r="B4" s="49" t="s">
        <v>52</v>
      </c>
      <c r="C4" s="50" t="s">
        <v>53</v>
      </c>
      <c r="D4" s="51"/>
      <c r="E4" s="29">
        <v>1159664.0</v>
      </c>
      <c r="F4" s="30">
        <f t="shared" ref="F4:F6" si="1">+E4*19%+E4</f>
        <v>1380000.16</v>
      </c>
      <c r="G4" s="15">
        <f t="shared" ref="G4:G6" si="2">+(E4+F4)/3688</f>
        <v>688.6291106</v>
      </c>
      <c r="H4" s="16">
        <f t="shared" ref="H4:H6" si="3">+G4*3665</f>
        <v>2523825.69</v>
      </c>
      <c r="I4" s="52" t="s">
        <v>16</v>
      </c>
      <c r="J4" s="53" t="s">
        <v>54</v>
      </c>
    </row>
    <row r="5" ht="99.0" customHeight="1">
      <c r="A5" s="10" t="s">
        <v>18</v>
      </c>
      <c r="B5" s="49" t="s">
        <v>55</v>
      </c>
      <c r="C5" s="50" t="s">
        <v>56</v>
      </c>
      <c r="D5" s="54"/>
      <c r="E5" s="29">
        <v>558823.0</v>
      </c>
      <c r="F5" s="30">
        <f t="shared" si="1"/>
        <v>664999.37</v>
      </c>
      <c r="G5" s="15">
        <f t="shared" si="2"/>
        <v>331.8390374</v>
      </c>
      <c r="H5" s="16">
        <f t="shared" si="3"/>
        <v>1216190.072</v>
      </c>
      <c r="I5" s="52" t="s">
        <v>16</v>
      </c>
      <c r="J5" s="53" t="s">
        <v>54</v>
      </c>
    </row>
    <row r="6" ht="131.25" customHeight="1">
      <c r="A6" s="10" t="s">
        <v>21</v>
      </c>
      <c r="B6" s="49" t="s">
        <v>57</v>
      </c>
      <c r="C6" s="55" t="s">
        <v>58</v>
      </c>
      <c r="D6" s="56"/>
      <c r="E6" s="29">
        <v>1083193.0</v>
      </c>
      <c r="F6" s="30">
        <f t="shared" si="1"/>
        <v>1288999.67</v>
      </c>
      <c r="G6" s="36">
        <f t="shared" si="2"/>
        <v>643.2192706</v>
      </c>
      <c r="H6" s="16">
        <f t="shared" si="3"/>
        <v>2357398.627</v>
      </c>
      <c r="I6" s="52" t="s">
        <v>16</v>
      </c>
      <c r="J6" s="53" t="s">
        <v>54</v>
      </c>
    </row>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J1"/>
    <mergeCell ref="D2:H2"/>
  </mergeCells>
  <hyperlinks>
    <hyperlink r:id="rId1" ref="C4"/>
    <hyperlink r:id="rId2" ref="C5"/>
    <hyperlink r:id="rId3" ref="C6"/>
  </hyperlinks>
  <printOptions/>
  <pageMargins bottom="0.75" footer="0.0" header="0.0" left="0.7" right="0.7" top="0.75"/>
  <pageSetup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11.0"/>
    <col customWidth="1" min="8" max="8" width="14.75"/>
    <col customWidth="1" min="9" max="9" width="11.0"/>
    <col customWidth="1" min="10" max="10" width="35.0"/>
    <col customWidth="1" min="11" max="26" width="11.0"/>
  </cols>
  <sheetData>
    <row r="1" ht="13.5" customHeight="1">
      <c r="A1" s="2" t="s">
        <v>1</v>
      </c>
      <c r="B1" s="3"/>
      <c r="C1" s="3"/>
      <c r="D1" s="3"/>
      <c r="E1" s="3"/>
      <c r="F1" s="3"/>
      <c r="G1" s="3"/>
      <c r="H1" s="3"/>
      <c r="I1" s="3"/>
      <c r="J1" s="4"/>
    </row>
    <row r="2" ht="13.5" customHeight="1">
      <c r="D2" s="43" t="s">
        <v>59</v>
      </c>
      <c r="E2" s="3"/>
      <c r="F2" s="3"/>
      <c r="G2" s="3"/>
      <c r="H2" s="3"/>
    </row>
    <row r="3" ht="13.5" customHeight="1">
      <c r="A3" s="44" t="s">
        <v>3</v>
      </c>
      <c r="B3" s="45" t="s">
        <v>60</v>
      </c>
      <c r="C3" s="45" t="s">
        <v>61</v>
      </c>
      <c r="D3" s="45" t="s">
        <v>62</v>
      </c>
      <c r="E3" s="45" t="s">
        <v>63</v>
      </c>
      <c r="F3" s="46" t="s">
        <v>64</v>
      </c>
      <c r="G3" s="47" t="s">
        <v>65</v>
      </c>
      <c r="H3" s="45" t="s">
        <v>10</v>
      </c>
      <c r="I3" s="48" t="s">
        <v>66</v>
      </c>
      <c r="J3" s="45" t="s">
        <v>67</v>
      </c>
    </row>
    <row r="4" ht="82.5" customHeight="1">
      <c r="A4" s="10" t="s">
        <v>13</v>
      </c>
      <c r="B4" s="26" t="s">
        <v>68</v>
      </c>
      <c r="C4" s="27" t="s">
        <v>69</v>
      </c>
      <c r="D4" s="57"/>
      <c r="E4" s="58">
        <v>638655.0</v>
      </c>
      <c r="F4" s="59">
        <f t="shared" ref="F4:F6" si="1">+E4*19%+E4</f>
        <v>759999.45</v>
      </c>
      <c r="G4" s="15">
        <f t="shared" ref="G4:G6" si="2">+(E4+F4)/3688</f>
        <v>379.244699</v>
      </c>
      <c r="H4" s="16">
        <f t="shared" ref="H4:H6" si="3">+G4*3665</f>
        <v>1389931.822</v>
      </c>
      <c r="I4" s="31" t="s">
        <v>16</v>
      </c>
      <c r="J4" s="37" t="s">
        <v>70</v>
      </c>
    </row>
    <row r="5" ht="99.0" customHeight="1">
      <c r="A5" s="10" t="s">
        <v>18</v>
      </c>
      <c r="B5" s="26" t="s">
        <v>71</v>
      </c>
      <c r="C5" s="27" t="s">
        <v>72</v>
      </c>
      <c r="D5" s="54"/>
      <c r="E5" s="58">
        <v>618616.0</v>
      </c>
      <c r="F5" s="59">
        <f t="shared" si="1"/>
        <v>736153.04</v>
      </c>
      <c r="G5" s="15">
        <f t="shared" si="2"/>
        <v>367.3451844</v>
      </c>
      <c r="H5" s="16">
        <f t="shared" si="3"/>
        <v>1346320.101</v>
      </c>
      <c r="I5" s="31" t="s">
        <v>16</v>
      </c>
      <c r="J5" s="37" t="s">
        <v>70</v>
      </c>
    </row>
    <row r="6" ht="88.5" customHeight="1">
      <c r="A6" s="10" t="s">
        <v>21</v>
      </c>
      <c r="B6" s="26" t="s">
        <v>73</v>
      </c>
      <c r="C6" s="27" t="s">
        <v>74</v>
      </c>
      <c r="D6" s="56"/>
      <c r="E6" s="58">
        <v>579831.0</v>
      </c>
      <c r="F6" s="59">
        <f t="shared" si="1"/>
        <v>689998.89</v>
      </c>
      <c r="G6" s="36">
        <f t="shared" si="2"/>
        <v>344.3139615</v>
      </c>
      <c r="H6" s="16">
        <f t="shared" si="3"/>
        <v>1261910.669</v>
      </c>
      <c r="I6" s="31" t="s">
        <v>16</v>
      </c>
      <c r="J6" s="37" t="s">
        <v>70</v>
      </c>
    </row>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J1"/>
    <mergeCell ref="D2:H2"/>
  </mergeCells>
  <hyperlinks>
    <hyperlink r:id="rId1" ref="C4"/>
    <hyperlink r:id="rId2" ref="C5"/>
    <hyperlink r:id="rId3" ref="C6"/>
  </hyperlinks>
  <printOptions/>
  <pageMargins bottom="0.75" footer="0.0" header="0.0" left="0.7" right="0.7" top="0.75"/>
  <pageSetup orientation="landscape"/>
  <drawing r:id="rId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7" width="11.0"/>
    <col customWidth="1" min="8" max="8" width="13.63"/>
    <col customWidth="1" min="9" max="9" width="11.0"/>
    <col customWidth="1" min="10" max="10" width="34.5"/>
    <col customWidth="1" min="11" max="26" width="11.0"/>
  </cols>
  <sheetData>
    <row r="1" ht="13.5" customHeight="1">
      <c r="A1" s="2" t="s">
        <v>1</v>
      </c>
      <c r="B1" s="3"/>
      <c r="C1" s="3"/>
      <c r="D1" s="3"/>
      <c r="E1" s="3"/>
      <c r="F1" s="3"/>
      <c r="G1" s="3"/>
      <c r="H1" s="3"/>
      <c r="I1" s="3"/>
      <c r="J1" s="4"/>
    </row>
    <row r="2" ht="13.5" customHeight="1">
      <c r="D2" s="5" t="s">
        <v>75</v>
      </c>
      <c r="E2" s="6"/>
      <c r="F2" s="6"/>
      <c r="G2" s="6"/>
      <c r="H2" s="6"/>
    </row>
    <row r="3" ht="13.5" customHeight="1">
      <c r="A3" s="7" t="s">
        <v>3</v>
      </c>
      <c r="B3" s="8" t="s">
        <v>76</v>
      </c>
      <c r="C3" s="8" t="s">
        <v>77</v>
      </c>
      <c r="D3" s="8" t="s">
        <v>78</v>
      </c>
      <c r="E3" s="8" t="s">
        <v>79</v>
      </c>
      <c r="F3" s="9" t="s">
        <v>80</v>
      </c>
      <c r="G3" s="7" t="s">
        <v>81</v>
      </c>
      <c r="H3" s="8" t="s">
        <v>10</v>
      </c>
      <c r="I3" s="8" t="s">
        <v>82</v>
      </c>
      <c r="J3" s="8" t="s">
        <v>83</v>
      </c>
    </row>
    <row r="4" ht="106.5" customHeight="1">
      <c r="A4" s="10" t="s">
        <v>13</v>
      </c>
      <c r="B4" s="26" t="s">
        <v>84</v>
      </c>
      <c r="C4" s="60" t="s">
        <v>85</v>
      </c>
      <c r="D4" s="57"/>
      <c r="E4" s="61">
        <v>444907.0</v>
      </c>
      <c r="F4" s="62">
        <f t="shared" ref="F4:F6" si="1">+E4*19%+E4</f>
        <v>529439.33</v>
      </c>
      <c r="G4" s="15">
        <f t="shared" ref="G4:G6" si="2">+(E4+F4)/3688</f>
        <v>264.1936903</v>
      </c>
      <c r="H4" s="16">
        <f t="shared" ref="H4:H6" si="3">+G4*3665</f>
        <v>968269.8751</v>
      </c>
      <c r="I4" s="31" t="s">
        <v>16</v>
      </c>
      <c r="J4" s="37" t="s">
        <v>86</v>
      </c>
    </row>
    <row r="5" ht="105.0" customHeight="1">
      <c r="A5" s="10" t="s">
        <v>18</v>
      </c>
      <c r="B5" s="26" t="s">
        <v>87</v>
      </c>
      <c r="C5" s="60" t="s">
        <v>88</v>
      </c>
      <c r="D5" s="54"/>
      <c r="E5" s="62">
        <v>459000.0</v>
      </c>
      <c r="F5" s="62">
        <f t="shared" si="1"/>
        <v>546210</v>
      </c>
      <c r="G5" s="15">
        <f t="shared" si="2"/>
        <v>272.5623644</v>
      </c>
      <c r="H5" s="16">
        <f t="shared" si="3"/>
        <v>998941.0656</v>
      </c>
      <c r="I5" s="31" t="s">
        <v>16</v>
      </c>
      <c r="J5" s="37" t="s">
        <v>86</v>
      </c>
    </row>
    <row r="6" ht="108.0" customHeight="1">
      <c r="A6" s="10" t="s">
        <v>21</v>
      </c>
      <c r="B6" s="63" t="s">
        <v>89</v>
      </c>
      <c r="C6" s="60" t="s">
        <v>90</v>
      </c>
      <c r="D6" s="56"/>
      <c r="E6" s="61">
        <v>445000.0</v>
      </c>
      <c r="F6" s="62">
        <f t="shared" si="1"/>
        <v>529550</v>
      </c>
      <c r="G6" s="36">
        <f t="shared" si="2"/>
        <v>264.2489154</v>
      </c>
      <c r="H6" s="16">
        <f t="shared" si="3"/>
        <v>968472.2749</v>
      </c>
      <c r="I6" s="31" t="s">
        <v>16</v>
      </c>
      <c r="J6" s="37" t="s">
        <v>86</v>
      </c>
    </row>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mergeCells count="2">
    <mergeCell ref="A1:J1"/>
    <mergeCell ref="D2:H2"/>
  </mergeCells>
  <hyperlinks>
    <hyperlink r:id="rId1" ref="C4"/>
    <hyperlink r:id="rId2" ref="C5"/>
    <hyperlink r:id="rId3" ref="C6"/>
  </hyperlinks>
  <printOptions/>
  <pageMargins bottom="0.75" footer="0.0" header="0.0" left="0.7" right="0.7" top="0.75"/>
  <pageSetup orientation="landscape"/>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1.0"/>
    <col customWidth="1" min="2" max="2" width="20.25"/>
    <col customWidth="1" min="3" max="3" width="36.25"/>
    <col customWidth="1" min="4" max="4" width="22.5"/>
    <col customWidth="1" min="5" max="5" width="13.63"/>
    <col customWidth="1" min="6" max="6" width="15.13"/>
    <col customWidth="1" min="7" max="7" width="12.5"/>
    <col customWidth="1" min="8" max="8" width="12.88"/>
    <col customWidth="1" min="9" max="9" width="22.13"/>
    <col customWidth="1" min="10" max="10" width="39.13"/>
    <col customWidth="1" min="11" max="26" width="11.0"/>
  </cols>
  <sheetData>
    <row r="1" ht="13.5" customHeight="1">
      <c r="A1" s="7" t="s">
        <v>3</v>
      </c>
      <c r="B1" s="8" t="s">
        <v>91</v>
      </c>
      <c r="C1" s="8" t="s">
        <v>92</v>
      </c>
      <c r="D1" s="8" t="s">
        <v>93</v>
      </c>
      <c r="E1" s="8" t="s">
        <v>94</v>
      </c>
      <c r="F1" s="9" t="s">
        <v>95</v>
      </c>
      <c r="G1" s="7" t="s">
        <v>96</v>
      </c>
      <c r="H1" s="8" t="s">
        <v>10</v>
      </c>
      <c r="I1" s="8" t="s">
        <v>97</v>
      </c>
      <c r="J1" s="8" t="s">
        <v>98</v>
      </c>
    </row>
    <row r="2" ht="72.0" customHeight="1">
      <c r="A2" s="10" t="s">
        <v>13</v>
      </c>
      <c r="B2" s="49" t="s">
        <v>99</v>
      </c>
      <c r="C2" s="64" t="s">
        <v>100</v>
      </c>
      <c r="D2" s="51" t="s">
        <v>101</v>
      </c>
      <c r="E2" s="61">
        <v>47900.0</v>
      </c>
      <c r="F2" s="61">
        <f t="shared" ref="F2:F4" si="1">+E2*19%+E2</f>
        <v>57001</v>
      </c>
      <c r="G2" s="15">
        <f t="shared" ref="G2:G4" si="2">+(E2+F2)/3688</f>
        <v>28.44387202</v>
      </c>
      <c r="H2" s="16">
        <f t="shared" ref="H2:H4" si="3">+G2*3665</f>
        <v>104246.7909</v>
      </c>
      <c r="I2" s="31" t="s">
        <v>16</v>
      </c>
      <c r="J2" s="65" t="s">
        <v>102</v>
      </c>
    </row>
    <row r="3" ht="54.75" customHeight="1">
      <c r="A3" s="10" t="s">
        <v>18</v>
      </c>
      <c r="B3" s="49" t="s">
        <v>103</v>
      </c>
      <c r="C3" s="64" t="s">
        <v>104</v>
      </c>
      <c r="D3" s="54" t="s">
        <v>101</v>
      </c>
      <c r="E3" s="61">
        <v>51900.0</v>
      </c>
      <c r="F3" s="61">
        <f t="shared" si="1"/>
        <v>61761</v>
      </c>
      <c r="G3" s="15">
        <f t="shared" si="2"/>
        <v>30.81914317</v>
      </c>
      <c r="H3" s="16">
        <f t="shared" si="3"/>
        <v>112952.1597</v>
      </c>
      <c r="I3" s="31" t="s">
        <v>16</v>
      </c>
      <c r="J3" s="65" t="s">
        <v>105</v>
      </c>
    </row>
    <row r="4" ht="66.0" customHeight="1">
      <c r="A4" s="10" t="s">
        <v>21</v>
      </c>
      <c r="B4" s="63" t="s">
        <v>106</v>
      </c>
      <c r="C4" s="64" t="s">
        <v>107</v>
      </c>
      <c r="D4" s="56" t="s">
        <v>101</v>
      </c>
      <c r="E4" s="61">
        <v>54900.0</v>
      </c>
      <c r="F4" s="61">
        <f t="shared" si="1"/>
        <v>65331</v>
      </c>
      <c r="G4" s="36">
        <f t="shared" si="2"/>
        <v>32.60059653</v>
      </c>
      <c r="H4" s="16">
        <f t="shared" si="3"/>
        <v>119481.1863</v>
      </c>
      <c r="I4" s="31" t="s">
        <v>16</v>
      </c>
      <c r="J4" s="65" t="s">
        <v>108</v>
      </c>
    </row>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1" ref="C2"/>
    <hyperlink r:id="rId2" ref="C3"/>
    <hyperlink r:id="rId3" ref="C4"/>
  </hyperlinks>
  <printOptions/>
  <pageMargins bottom="0.75" footer="0.0" header="0.0" left="0.7" right="0.7" top="0.75"/>
  <pageSetup orientation="landscape"/>
  <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0.38"/>
    <col customWidth="1" min="2" max="2" width="35.0"/>
    <col customWidth="1" min="3" max="3" width="18.63"/>
    <col customWidth="1" min="4" max="4" width="17.5"/>
    <col customWidth="1" min="5" max="5" width="14.88"/>
    <col customWidth="1" min="6" max="6" width="12.25"/>
    <col customWidth="1" min="7" max="7" width="12.38"/>
    <col customWidth="1" min="8" max="8" width="16.5"/>
    <col customWidth="1" min="9" max="9" width="14.0"/>
    <col customWidth="1" min="10" max="10" width="41.0"/>
    <col customWidth="1" min="11" max="26" width="9.0"/>
  </cols>
  <sheetData>
    <row r="1" ht="54.0" customHeight="1">
      <c r="A1" s="7" t="s">
        <v>109</v>
      </c>
      <c r="B1" s="8" t="s">
        <v>110</v>
      </c>
      <c r="C1" s="8" t="s">
        <v>111</v>
      </c>
      <c r="D1" s="8" t="s">
        <v>112</v>
      </c>
      <c r="E1" s="8" t="s">
        <v>113</v>
      </c>
      <c r="F1" s="9" t="s">
        <v>114</v>
      </c>
      <c r="G1" s="7" t="s">
        <v>115</v>
      </c>
      <c r="H1" s="8" t="s">
        <v>10</v>
      </c>
      <c r="I1" s="8" t="s">
        <v>116</v>
      </c>
      <c r="J1" s="8" t="s">
        <v>117</v>
      </c>
    </row>
    <row r="2" ht="109.5" customHeight="1">
      <c r="A2" s="10" t="s">
        <v>13</v>
      </c>
      <c r="B2" s="66" t="s">
        <v>118</v>
      </c>
      <c r="C2" s="67" t="s">
        <v>119</v>
      </c>
      <c r="D2" s="51" t="s">
        <v>120</v>
      </c>
      <c r="E2" s="68" t="s">
        <v>121</v>
      </c>
      <c r="F2" s="61">
        <f t="shared" ref="F2:F4" si="1">+E2*19%+E2</f>
        <v>237.881</v>
      </c>
      <c r="G2" s="15">
        <f t="shared" ref="G2:G4" si="2">+E2+F2</f>
        <v>437.781</v>
      </c>
      <c r="H2" s="16">
        <f t="shared" ref="H2:H4" si="3">+G2*3665</f>
        <v>1604467.365</v>
      </c>
      <c r="I2" s="52" t="s">
        <v>16</v>
      </c>
      <c r="J2" s="53" t="s">
        <v>122</v>
      </c>
    </row>
    <row r="3" ht="13.5" customHeight="1">
      <c r="A3" s="10" t="s">
        <v>123</v>
      </c>
      <c r="B3" s="66" t="s">
        <v>124</v>
      </c>
      <c r="C3" s="67" t="s">
        <v>125</v>
      </c>
      <c r="D3" s="54" t="s">
        <v>120</v>
      </c>
      <c r="E3" s="61">
        <v>86900.0</v>
      </c>
      <c r="F3" s="61">
        <f t="shared" si="1"/>
        <v>103411</v>
      </c>
      <c r="G3" s="15">
        <f t="shared" si="2"/>
        <v>190311</v>
      </c>
      <c r="H3" s="16">
        <f t="shared" si="3"/>
        <v>697489815</v>
      </c>
      <c r="I3" s="52" t="s">
        <v>16</v>
      </c>
      <c r="J3" s="53" t="s">
        <v>126</v>
      </c>
    </row>
    <row r="4" ht="13.5" customHeight="1">
      <c r="A4" s="10" t="s">
        <v>21</v>
      </c>
      <c r="B4" s="69" t="s">
        <v>127</v>
      </c>
      <c r="C4" s="67" t="s">
        <v>128</v>
      </c>
      <c r="D4" s="56" t="s">
        <v>120</v>
      </c>
      <c r="E4" s="61">
        <v>169900.0</v>
      </c>
      <c r="F4" s="61">
        <f t="shared" si="1"/>
        <v>202181</v>
      </c>
      <c r="G4" s="36">
        <f t="shared" si="2"/>
        <v>372081</v>
      </c>
      <c r="H4" s="16">
        <f t="shared" si="3"/>
        <v>1363676865</v>
      </c>
      <c r="I4" s="52" t="s">
        <v>16</v>
      </c>
      <c r="J4" s="53" t="s">
        <v>129</v>
      </c>
    </row>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1" ref="C2"/>
    <hyperlink r:id="rId2" ref="C3"/>
    <hyperlink r:id="rId3" ref="C4"/>
  </hyperlinks>
  <printOptions/>
  <pageMargins bottom="1.0" footer="0.0" header="0.0" left="0.75" right="0.75" top="1.0"/>
  <pageSetup orientation="landscape"/>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0.88"/>
    <col customWidth="1" min="2" max="2" width="23.13"/>
    <col customWidth="1" min="3" max="3" width="21.25"/>
    <col customWidth="1" min="4" max="4" width="25.25"/>
    <col customWidth="1" min="5" max="5" width="11.25"/>
    <col customWidth="1" min="6" max="6" width="9.5"/>
    <col customWidth="1" min="7" max="7" width="11.63"/>
    <col customWidth="1" min="8" max="8" width="17.0"/>
    <col customWidth="1" min="9" max="9" width="13.13"/>
    <col customWidth="1" min="10" max="10" width="30.5"/>
    <col customWidth="1" min="11" max="26" width="9.0"/>
  </cols>
  <sheetData>
    <row r="1" ht="52.5" customHeight="1">
      <c r="A1" s="7" t="s">
        <v>3</v>
      </c>
      <c r="B1" s="8" t="s">
        <v>130</v>
      </c>
      <c r="C1" s="8" t="s">
        <v>131</v>
      </c>
      <c r="D1" s="8" t="s">
        <v>132</v>
      </c>
      <c r="E1" s="8" t="s">
        <v>133</v>
      </c>
      <c r="F1" s="9" t="s">
        <v>134</v>
      </c>
      <c r="G1" s="7" t="s">
        <v>135</v>
      </c>
      <c r="H1" s="8" t="s">
        <v>10</v>
      </c>
      <c r="I1" s="8" t="s">
        <v>136</v>
      </c>
      <c r="J1" s="8" t="s">
        <v>137</v>
      </c>
    </row>
    <row r="2" ht="64.5" customHeight="1">
      <c r="A2" s="10" t="s">
        <v>13</v>
      </c>
      <c r="B2" s="66" t="s">
        <v>19</v>
      </c>
      <c r="C2" s="67" t="s">
        <v>138</v>
      </c>
      <c r="D2" s="51" t="s">
        <v>139</v>
      </c>
      <c r="E2" s="61">
        <v>379900.0</v>
      </c>
      <c r="F2" s="61">
        <f t="shared" ref="F2:F4" si="1">+E2*19%+E2</f>
        <v>452081</v>
      </c>
      <c r="G2" s="15">
        <f t="shared" ref="G2:G4" si="2">+E2+F2</f>
        <v>831981</v>
      </c>
      <c r="H2" s="16">
        <f t="shared" ref="H2:H4" si="3">+G2*3665</f>
        <v>3049210365</v>
      </c>
      <c r="I2" s="52" t="s">
        <v>16</v>
      </c>
      <c r="J2" s="53" t="s">
        <v>140</v>
      </c>
    </row>
    <row r="3" ht="81.0" customHeight="1">
      <c r="A3" s="10" t="s">
        <v>18</v>
      </c>
      <c r="B3" s="66" t="s">
        <v>106</v>
      </c>
      <c r="C3" s="67" t="s">
        <v>141</v>
      </c>
      <c r="D3" s="54" t="s">
        <v>139</v>
      </c>
      <c r="E3" s="61">
        <v>429930.0</v>
      </c>
      <c r="F3" s="61">
        <f t="shared" si="1"/>
        <v>511616.7</v>
      </c>
      <c r="G3" s="15">
        <f t="shared" si="2"/>
        <v>941546.7</v>
      </c>
      <c r="H3" s="16">
        <f t="shared" si="3"/>
        <v>3450768656</v>
      </c>
      <c r="I3" s="52" t="s">
        <v>16</v>
      </c>
      <c r="J3" s="53" t="s">
        <v>142</v>
      </c>
    </row>
    <row r="4" ht="96.0" customHeight="1">
      <c r="A4" s="10" t="s">
        <v>21</v>
      </c>
      <c r="B4" s="69" t="s">
        <v>143</v>
      </c>
      <c r="C4" s="67" t="s">
        <v>144</v>
      </c>
      <c r="D4" s="56" t="s">
        <v>139</v>
      </c>
      <c r="E4" s="61">
        <v>451215.0</v>
      </c>
      <c r="F4" s="61">
        <f t="shared" si="1"/>
        <v>536945.85</v>
      </c>
      <c r="G4" s="36">
        <f t="shared" si="2"/>
        <v>988160.85</v>
      </c>
      <c r="H4" s="16">
        <f t="shared" si="3"/>
        <v>3621609515</v>
      </c>
      <c r="I4" s="52" t="s">
        <v>16</v>
      </c>
      <c r="J4" s="53" t="s">
        <v>145</v>
      </c>
    </row>
    <row r="5" ht="13.5" customHeight="1"/>
    <row r="6" ht="13.5" customHeight="1"/>
    <row r="7" ht="13.5" customHeight="1"/>
    <row r="8" ht="13.5" customHeight="1"/>
    <row r="9" ht="13.5" customHeight="1"/>
    <row r="10" ht="13.5" customHeight="1"/>
    <row r="11" ht="13.5" customHeight="1"/>
    <row r="12" ht="13.5" customHeight="1"/>
    <row r="13" ht="13.5" customHeight="1"/>
    <row r="14" ht="13.5" customHeight="1"/>
    <row r="15" ht="13.5" customHeight="1"/>
    <row r="16" ht="13.5" customHeight="1"/>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hyperlinks>
    <hyperlink r:id="rId1" ref="C2"/>
    <hyperlink r:id="rId2" ref="C3"/>
    <hyperlink r:id="rId3" ref="C4"/>
  </hyperlinks>
  <printOptions/>
  <pageMargins bottom="1.0" footer="0.0" header="0.0" left="0.75" right="0.75" top="1.0"/>
  <pageSetup orientation="landscape"/>
  <drawing r:id="rId4"/>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5" max="5" width="30.0"/>
    <col customWidth="1" min="9" max="9" width="5.13"/>
    <col customWidth="1" min="11" max="11" width="2.75"/>
  </cols>
  <sheetData>
    <row r="1">
      <c r="A1" s="70"/>
      <c r="B1" s="70"/>
      <c r="C1" s="70"/>
      <c r="D1" s="70"/>
      <c r="E1" s="70"/>
      <c r="F1" s="70"/>
      <c r="G1" s="70"/>
      <c r="H1" s="70"/>
      <c r="I1" s="70"/>
      <c r="J1" s="70"/>
      <c r="K1" s="70"/>
      <c r="L1" s="70"/>
      <c r="M1" s="70"/>
      <c r="N1" s="70"/>
    </row>
    <row r="2">
      <c r="A2" s="70"/>
      <c r="B2" s="70"/>
      <c r="C2" s="70"/>
      <c r="D2" s="70"/>
      <c r="E2" s="70"/>
      <c r="F2" s="71"/>
      <c r="J2" s="70"/>
      <c r="K2" s="70"/>
      <c r="L2" s="70"/>
      <c r="M2" s="70"/>
      <c r="N2" s="70"/>
    </row>
    <row r="3">
      <c r="A3" s="70"/>
      <c r="B3" s="72" t="s">
        <v>146</v>
      </c>
      <c r="C3" s="6"/>
      <c r="D3" s="6"/>
      <c r="E3" s="6"/>
      <c r="F3" s="6"/>
      <c r="G3" s="6"/>
      <c r="H3" s="6"/>
      <c r="I3" s="6"/>
      <c r="J3" s="6"/>
      <c r="K3" s="73"/>
      <c r="L3" s="70"/>
      <c r="M3" s="70"/>
      <c r="N3" s="70"/>
    </row>
    <row r="4" ht="3.75" customHeight="1">
      <c r="A4" s="70"/>
      <c r="B4" s="74"/>
      <c r="C4" s="75"/>
      <c r="D4" s="75"/>
      <c r="E4" s="75"/>
      <c r="F4" s="75"/>
      <c r="G4" s="75"/>
      <c r="H4" s="75"/>
      <c r="I4" s="75"/>
      <c r="J4" s="75"/>
      <c r="K4" s="76"/>
      <c r="L4" s="77"/>
      <c r="M4" s="70"/>
      <c r="N4" s="70"/>
    </row>
    <row r="5">
      <c r="A5" s="70"/>
      <c r="B5" s="78" t="s">
        <v>147</v>
      </c>
      <c r="K5" s="79"/>
      <c r="L5" s="77"/>
      <c r="M5" s="70"/>
      <c r="N5" s="70"/>
    </row>
    <row r="6" ht="3.75" customHeight="1">
      <c r="A6" s="70"/>
      <c r="B6" s="74"/>
      <c r="C6" s="75"/>
      <c r="D6" s="75"/>
      <c r="E6" s="75"/>
      <c r="F6" s="75"/>
      <c r="G6" s="75"/>
      <c r="H6" s="75"/>
      <c r="I6" s="75"/>
      <c r="J6" s="75"/>
      <c r="K6" s="76"/>
      <c r="L6" s="77"/>
      <c r="M6" s="70"/>
      <c r="N6" s="70"/>
    </row>
    <row r="7">
      <c r="A7" s="70"/>
      <c r="B7" s="80" t="s">
        <v>148</v>
      </c>
      <c r="C7" s="6"/>
      <c r="D7" s="6"/>
      <c r="E7" s="6"/>
      <c r="F7" s="6"/>
      <c r="G7" s="6"/>
      <c r="H7" s="6"/>
      <c r="I7" s="6"/>
      <c r="J7" s="6"/>
      <c r="K7" s="73"/>
      <c r="L7" s="70"/>
      <c r="M7" s="70"/>
      <c r="N7" s="70"/>
    </row>
    <row r="8" ht="1.5" customHeight="1">
      <c r="A8" s="70"/>
      <c r="B8" s="74"/>
      <c r="C8" s="75"/>
      <c r="D8" s="75"/>
      <c r="E8" s="75"/>
      <c r="F8" s="75"/>
      <c r="G8" s="75"/>
      <c r="H8" s="75"/>
      <c r="I8" s="75"/>
      <c r="J8" s="75"/>
      <c r="K8" s="76"/>
      <c r="L8" s="70"/>
      <c r="M8" s="70"/>
      <c r="N8" s="70"/>
    </row>
    <row r="9">
      <c r="A9" s="70"/>
      <c r="B9" s="81" t="s">
        <v>149</v>
      </c>
      <c r="K9" s="79"/>
      <c r="L9" s="70"/>
      <c r="M9" s="70"/>
      <c r="N9" s="70"/>
    </row>
    <row r="10" ht="1.5" customHeight="1">
      <c r="A10" s="70"/>
      <c r="B10" s="82"/>
      <c r="K10" s="79"/>
      <c r="L10" s="70"/>
      <c r="M10" s="70"/>
      <c r="N10" s="70"/>
    </row>
    <row r="11">
      <c r="A11" s="70"/>
      <c r="B11" s="83" t="s">
        <v>150</v>
      </c>
      <c r="C11" s="6"/>
      <c r="D11" s="6"/>
      <c r="E11" s="6"/>
      <c r="F11" s="6"/>
      <c r="G11" s="6"/>
      <c r="H11" s="6"/>
      <c r="I11" s="6"/>
      <c r="J11" s="6"/>
      <c r="K11" s="73"/>
      <c r="L11" s="70"/>
      <c r="M11" s="70"/>
      <c r="N11" s="70"/>
    </row>
    <row r="12" ht="1.5" customHeight="1">
      <c r="A12" s="70"/>
      <c r="B12" s="74"/>
      <c r="C12" s="75"/>
      <c r="D12" s="75"/>
      <c r="E12" s="75"/>
      <c r="F12" s="75"/>
      <c r="G12" s="75"/>
      <c r="H12" s="75"/>
      <c r="I12" s="75"/>
      <c r="J12" s="75"/>
      <c r="K12" s="76"/>
      <c r="L12" s="70"/>
      <c r="M12" s="70"/>
      <c r="N12" s="70"/>
    </row>
    <row r="13">
      <c r="A13" s="70"/>
      <c r="B13" s="81" t="s">
        <v>151</v>
      </c>
      <c r="K13" s="79"/>
      <c r="L13" s="70"/>
      <c r="M13" s="70"/>
      <c r="N13" s="70"/>
    </row>
    <row r="14" ht="1.5" customHeight="1">
      <c r="A14" s="70"/>
      <c r="B14" s="74"/>
      <c r="C14" s="75"/>
      <c r="D14" s="75"/>
      <c r="E14" s="75"/>
      <c r="F14" s="75"/>
      <c r="G14" s="75"/>
      <c r="H14" s="75"/>
      <c r="I14" s="75"/>
      <c r="J14" s="75"/>
      <c r="K14" s="76"/>
      <c r="L14" s="71"/>
      <c r="N14" s="70"/>
    </row>
    <row r="15">
      <c r="A15" s="70"/>
      <c r="B15" s="84" t="s">
        <v>152</v>
      </c>
      <c r="C15" s="6"/>
      <c r="D15" s="6"/>
      <c r="E15" s="6"/>
      <c r="F15" s="6"/>
      <c r="G15" s="6"/>
      <c r="H15" s="6"/>
      <c r="I15" s="6"/>
      <c r="J15" s="6"/>
      <c r="K15" s="73"/>
      <c r="L15" s="85"/>
      <c r="N15" s="70"/>
    </row>
    <row r="16" ht="1.5" customHeight="1">
      <c r="A16" s="70"/>
      <c r="B16" s="82"/>
      <c r="K16" s="79"/>
      <c r="L16" s="70"/>
      <c r="M16" s="70"/>
      <c r="N16" s="70"/>
    </row>
    <row r="17" ht="1.5" customHeight="1">
      <c r="A17" s="70"/>
      <c r="B17" s="74"/>
      <c r="C17" s="75"/>
      <c r="D17" s="75"/>
      <c r="E17" s="75"/>
      <c r="F17" s="75"/>
      <c r="G17" s="75"/>
      <c r="H17" s="75"/>
      <c r="I17" s="75"/>
      <c r="J17" s="75"/>
      <c r="K17" s="76"/>
      <c r="L17" s="70"/>
      <c r="M17" s="70"/>
      <c r="N17" s="70"/>
    </row>
    <row r="18">
      <c r="A18" s="70"/>
      <c r="B18" s="86" t="s">
        <v>153</v>
      </c>
      <c r="C18" s="79"/>
      <c r="D18" s="86" t="s">
        <v>154</v>
      </c>
      <c r="E18" s="79"/>
      <c r="F18" s="86" t="s">
        <v>155</v>
      </c>
      <c r="G18" s="79"/>
      <c r="H18" s="86" t="s">
        <v>156</v>
      </c>
      <c r="I18" s="79"/>
      <c r="J18" s="87" t="s">
        <v>157</v>
      </c>
      <c r="K18" s="79"/>
      <c r="L18" s="70"/>
      <c r="M18" s="70"/>
      <c r="N18" s="70"/>
    </row>
    <row r="19">
      <c r="A19" s="70"/>
      <c r="B19" s="74"/>
      <c r="C19" s="76"/>
      <c r="D19" s="74"/>
      <c r="E19" s="76"/>
      <c r="F19" s="74"/>
      <c r="G19" s="76"/>
      <c r="H19" s="74"/>
      <c r="I19" s="76"/>
      <c r="J19" s="75"/>
      <c r="K19" s="76"/>
      <c r="L19" s="70"/>
      <c r="M19" s="70"/>
      <c r="N19" s="70"/>
    </row>
    <row r="20">
      <c r="A20" s="70"/>
      <c r="B20" s="88" t="s">
        <v>158</v>
      </c>
      <c r="C20" s="73"/>
      <c r="D20" s="89" t="s">
        <v>159</v>
      </c>
      <c r="E20" s="73"/>
      <c r="F20" s="88">
        <v>4.0</v>
      </c>
      <c r="G20" s="73"/>
      <c r="H20" s="88" t="s">
        <v>160</v>
      </c>
      <c r="I20" s="73"/>
      <c r="J20" s="90" t="s">
        <v>161</v>
      </c>
      <c r="K20" s="79"/>
      <c r="L20" s="70"/>
      <c r="M20" s="70"/>
      <c r="N20" s="70"/>
    </row>
    <row r="21">
      <c r="A21" s="70"/>
      <c r="B21" s="74"/>
      <c r="C21" s="76"/>
      <c r="D21" s="74"/>
      <c r="E21" s="76"/>
      <c r="F21" s="74"/>
      <c r="G21" s="76"/>
      <c r="H21" s="74"/>
      <c r="I21" s="76"/>
      <c r="J21" s="75"/>
      <c r="K21" s="76"/>
      <c r="L21" s="70"/>
      <c r="M21" s="70"/>
      <c r="N21" s="70"/>
    </row>
    <row r="22">
      <c r="A22" s="70"/>
      <c r="B22" s="88" t="s">
        <v>162</v>
      </c>
      <c r="C22" s="73"/>
      <c r="D22" s="88" t="s">
        <v>163</v>
      </c>
      <c r="E22" s="73"/>
      <c r="F22" s="88">
        <v>2.0</v>
      </c>
      <c r="G22" s="73"/>
      <c r="H22" s="90" t="s">
        <v>164</v>
      </c>
      <c r="I22" s="79"/>
      <c r="J22" s="90" t="s">
        <v>165</v>
      </c>
      <c r="K22" s="79"/>
      <c r="L22" s="70"/>
      <c r="M22" s="70"/>
      <c r="N22" s="70"/>
    </row>
    <row r="23">
      <c r="A23" s="70"/>
      <c r="B23" s="74"/>
      <c r="C23" s="76"/>
      <c r="D23" s="74"/>
      <c r="E23" s="76"/>
      <c r="F23" s="74"/>
      <c r="G23" s="76"/>
      <c r="H23" s="75"/>
      <c r="I23" s="76"/>
      <c r="J23" s="75"/>
      <c r="K23" s="76"/>
      <c r="L23" s="85"/>
      <c r="N23" s="70"/>
    </row>
    <row r="24">
      <c r="A24" s="70"/>
      <c r="B24" s="88" t="s">
        <v>166</v>
      </c>
      <c r="C24" s="73"/>
      <c r="D24" s="88" t="s">
        <v>167</v>
      </c>
      <c r="E24" s="73"/>
      <c r="F24" s="88">
        <v>1.0</v>
      </c>
      <c r="G24" s="73"/>
      <c r="H24" s="91">
        <v>80.0</v>
      </c>
      <c r="I24" s="79"/>
      <c r="J24" s="91">
        <v>80.0</v>
      </c>
      <c r="K24" s="79"/>
      <c r="L24" s="70"/>
      <c r="M24" s="70"/>
      <c r="N24" s="70"/>
    </row>
    <row r="25">
      <c r="B25" s="74"/>
      <c r="C25" s="76"/>
      <c r="D25" s="74"/>
      <c r="E25" s="76"/>
      <c r="F25" s="74"/>
      <c r="G25" s="76"/>
      <c r="H25" s="75"/>
      <c r="I25" s="76"/>
      <c r="J25" s="75"/>
      <c r="K25" s="76"/>
    </row>
    <row r="26">
      <c r="B26" s="88" t="s">
        <v>168</v>
      </c>
      <c r="C26" s="73"/>
      <c r="D26" s="90" t="s">
        <v>169</v>
      </c>
      <c r="E26" s="79"/>
      <c r="F26" s="88">
        <v>1.0</v>
      </c>
      <c r="G26" s="73"/>
      <c r="H26" s="92">
        <v>520000.0</v>
      </c>
      <c r="I26" s="73"/>
      <c r="J26" s="93">
        <v>520000.0</v>
      </c>
      <c r="K26" s="73"/>
    </row>
    <row r="27">
      <c r="B27" s="74"/>
      <c r="C27" s="76"/>
      <c r="D27" s="75"/>
      <c r="E27" s="76"/>
      <c r="F27" s="74"/>
      <c r="G27" s="76"/>
      <c r="H27" s="74"/>
      <c r="I27" s="76"/>
      <c r="J27" s="75"/>
      <c r="K27" s="76"/>
    </row>
    <row r="28">
      <c r="B28" s="88" t="s">
        <v>170</v>
      </c>
      <c r="C28" s="73"/>
      <c r="D28" s="88" t="s">
        <v>171</v>
      </c>
      <c r="E28" s="73"/>
      <c r="F28" s="88">
        <v>1.0</v>
      </c>
      <c r="G28" s="73"/>
      <c r="H28" s="88" t="s">
        <v>172</v>
      </c>
      <c r="I28" s="73"/>
      <c r="J28" s="88" t="s">
        <v>172</v>
      </c>
      <c r="K28" s="73"/>
    </row>
    <row r="29">
      <c r="B29" s="74"/>
      <c r="C29" s="76"/>
      <c r="D29" s="74"/>
      <c r="E29" s="76"/>
      <c r="F29" s="74"/>
      <c r="G29" s="76"/>
      <c r="H29" s="74"/>
      <c r="I29" s="76"/>
      <c r="J29" s="74"/>
      <c r="K29" s="76"/>
    </row>
    <row r="30">
      <c r="H30" s="94" t="s">
        <v>173</v>
      </c>
      <c r="I30" s="79"/>
      <c r="J30" s="95" t="s">
        <v>174</v>
      </c>
      <c r="K30" s="79"/>
    </row>
    <row r="31">
      <c r="H31" s="74"/>
      <c r="I31" s="76"/>
      <c r="J31" s="75"/>
      <c r="K31" s="76"/>
      <c r="R31" s="96" t="s">
        <v>175</v>
      </c>
    </row>
    <row r="33">
      <c r="D33" s="96"/>
      <c r="E33" s="96"/>
    </row>
  </sheetData>
  <mergeCells count="43">
    <mergeCell ref="F2:I2"/>
    <mergeCell ref="B3:K4"/>
    <mergeCell ref="B5:K6"/>
    <mergeCell ref="B7:K8"/>
    <mergeCell ref="B9:K10"/>
    <mergeCell ref="B11:K12"/>
    <mergeCell ref="L14:M14"/>
    <mergeCell ref="B13:K14"/>
    <mergeCell ref="B15:K17"/>
    <mergeCell ref="L15:M15"/>
    <mergeCell ref="D18:E19"/>
    <mergeCell ref="F18:G19"/>
    <mergeCell ref="H18:I19"/>
    <mergeCell ref="J18:K19"/>
    <mergeCell ref="H22:I23"/>
    <mergeCell ref="J22:K23"/>
    <mergeCell ref="L23:M23"/>
    <mergeCell ref="B18:C19"/>
    <mergeCell ref="B20:C21"/>
    <mergeCell ref="D20:E21"/>
    <mergeCell ref="F20:G21"/>
    <mergeCell ref="H20:I21"/>
    <mergeCell ref="J20:K21"/>
    <mergeCell ref="B22:C23"/>
    <mergeCell ref="D22:E23"/>
    <mergeCell ref="F22:G23"/>
    <mergeCell ref="B24:C25"/>
    <mergeCell ref="D24:E25"/>
    <mergeCell ref="F24:G25"/>
    <mergeCell ref="H24:I25"/>
    <mergeCell ref="J24:K25"/>
    <mergeCell ref="F28:G29"/>
    <mergeCell ref="H28:I29"/>
    <mergeCell ref="H30:I31"/>
    <mergeCell ref="J30:K31"/>
    <mergeCell ref="B26:C27"/>
    <mergeCell ref="D26:E27"/>
    <mergeCell ref="F26:G27"/>
    <mergeCell ref="H26:I27"/>
    <mergeCell ref="J26:K27"/>
    <mergeCell ref="B28:C29"/>
    <mergeCell ref="D28:E29"/>
    <mergeCell ref="J28:K29"/>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2025-11-21T12:14:00Z</dcterms:created>
  <dc:creator>Patricia  Ojeda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BBA75348311046FEA806E762CE26A81E_13</vt:lpwstr>
  </property>
  <property fmtid="{D5CDD505-2E9C-101B-9397-08002B2CF9AE}" pid="3" name="KSOProductBuildVer">
    <vt:lpwstr>3082-12.2.0.23196</vt:lpwstr>
  </property>
</Properties>
</file>